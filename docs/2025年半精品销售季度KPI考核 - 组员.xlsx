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1" activeTab="1"/>
  </bookViews>
  <sheets>
    <sheet name="合作销售KPI" sheetId="7" state="hidden" r:id="rId1"/>
    <sheet name="半精品销售组员，组长，主管" sheetId="15" r:id="rId2"/>
    <sheet name="助理" sheetId="8" r:id="rId3"/>
    <sheet name="助理内容" sheetId="12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<sst xmlns="http://schemas.openxmlformats.org/spreadsheetml/2006/main" count="111" uniqueCount="92">
  <si>
    <t>半精品合作销售绩效KPI考核方案</t>
  </si>
  <si>
    <t>指标</t>
  </si>
  <si>
    <t>考核细则</t>
  </si>
  <si>
    <t>权重</t>
  </si>
  <si>
    <t>满分</t>
  </si>
  <si>
    <t>得分</t>
  </si>
  <si>
    <t>合作编号下老品</t>
  </si>
  <si>
    <t>品均净利润同比增幅目标</t>
  </si>
  <si>
    <t>以老品品均净利润同比去年增长0%为满分，满分30分，少1%扣2分，（如果大于5%则有超额提点激励，详情见下表）（老品最少数量为100）</t>
  </si>
  <si>
    <t>净利润率</t>
  </si>
  <si>
    <t>以大组的平均净利率*1.2倍为满分，满分25分，每少1%扣2.5分</t>
  </si>
  <si>
    <t>广告占比</t>
  </si>
  <si>
    <t>广告占比≤ 8%为满分，满分12.5分，每多1%扣1分 （考核常规老品）</t>
  </si>
  <si>
    <t>滞销占比</t>
  </si>
  <si>
    <t>滞销（滞销豁免部分也需要同步）占比≤3%为满分，满分12.5分，每超过1%扣1.5分</t>
  </si>
  <si>
    <t>其他</t>
  </si>
  <si>
    <t>原销售满意度</t>
  </si>
  <si>
    <t>满分20分，根据日常产品检查，合作效果，执行效果进行反馈；若有多个销售则需要记录每个销售的分数，综合评估</t>
  </si>
  <si>
    <t>合计</t>
  </si>
  <si>
    <t>该KPI主要用于发现数据异常帮助合作销售提升，若分值低于60分，该销售停止接原销售的产品，经多次指导培训无法达到主销售要求的则进入合作维护POA流程</t>
  </si>
  <si>
    <t>半精品绩效考核方案</t>
  </si>
  <si>
    <t>组员</t>
  </si>
  <si>
    <t>新老品</t>
  </si>
  <si>
    <t>考核项</t>
  </si>
  <si>
    <t>新品板块（0-5月）</t>
  </si>
  <si>
    <t>新品品均净利润区间得分</t>
  </si>
  <si>
    <r>
      <rPr>
        <sz val="12"/>
        <rFont val="宋体"/>
        <charset val="134"/>
        <scheme val="minor"/>
      </rPr>
      <t xml:space="preserve">个人新品品均净利润区间得分：
</t>
    </r>
    <r>
      <rPr>
        <b/>
        <sz val="12"/>
        <color rgb="FFFF0000"/>
        <rFont val="宋体"/>
        <charset val="134"/>
        <scheme val="minor"/>
      </rPr>
      <t>以大组品均净利润*1.1</t>
    </r>
    <r>
      <rPr>
        <sz val="12"/>
        <rFont val="宋体"/>
        <charset val="134"/>
        <scheme val="minor"/>
      </rPr>
      <t>为满分标准，若大组均值高于半精品均值时，则满分标准以半精品均值*1.1为满分标准：
高于满分标准则为满分20分，相较于满分标准每降低1%扣0.5分，低于满分标准60%则为0分。</t>
    </r>
  </si>
  <si>
    <r>
      <rPr>
        <sz val="12"/>
        <rFont val="宋体"/>
        <charset val="134"/>
        <scheme val="minor"/>
      </rPr>
      <t xml:space="preserve">个人新品净利润率得分：
</t>
    </r>
    <r>
      <rPr>
        <sz val="12"/>
        <color rgb="FFFF0000"/>
        <rFont val="宋体"/>
        <charset val="134"/>
        <scheme val="minor"/>
      </rPr>
      <t>以大组平均净利润</t>
    </r>
    <r>
      <rPr>
        <sz val="12"/>
        <rFont val="宋体"/>
        <charset val="134"/>
        <scheme val="minor"/>
      </rPr>
      <t>率上浮一定比例为满分标准，满分15分，每少1%扣1分；
若大组平均净利润率为前10%，则上浮10%；
若大组平均净利润率介于前10%与30%之间，则上浮15%；
若大组平均净利润率为前30%之后，则上浮20%</t>
    </r>
  </si>
  <si>
    <t>成功率</t>
  </si>
  <si>
    <r>
      <rPr>
        <sz val="12"/>
        <color rgb="FFFF0000"/>
        <rFont val="宋体"/>
        <charset val="134"/>
        <scheme val="minor"/>
      </rPr>
      <t>以大组的成功率*1.1倍</t>
    </r>
    <r>
      <rPr>
        <sz val="12"/>
        <rFont val="宋体"/>
        <charset val="134"/>
        <scheme val="minor"/>
      </rPr>
      <t>为满分，满分10分，高于满分标准则满分；低于满分标准且高于20%，则得分为10*成功率/满分标准；低于20%则为0分</t>
    </r>
  </si>
  <si>
    <t>新品广告占比≤ 11%（补充：旺季Q4季度广告占比≤12%）为满分，满分5分，每多1%扣1分</t>
  </si>
  <si>
    <t>老品板块（1年以上）</t>
  </si>
  <si>
    <t>品均净利润同比得分</t>
  </si>
  <si>
    <t>个人本期，去年同期同为老品的品均净利润增长率得分：
品均同比增长率大于-10%为满分，每下降1%扣1分（如果大于特定标准，则有超额提点激励，详情见下表）</t>
  </si>
  <si>
    <t>品均净利润区间得分</t>
  </si>
  <si>
    <r>
      <rPr>
        <sz val="12"/>
        <rFont val="宋体"/>
        <charset val="134"/>
        <scheme val="minor"/>
      </rPr>
      <t>个人本期为老品，去年同期为新品的品均净利润区间得分：
以</t>
    </r>
    <r>
      <rPr>
        <sz val="12"/>
        <color rgb="FFFF0000"/>
        <rFont val="宋体"/>
        <charset val="134"/>
        <scheme val="minor"/>
      </rPr>
      <t>大组品均净利润的1.1倍</t>
    </r>
    <r>
      <rPr>
        <sz val="12"/>
        <rFont val="宋体"/>
        <charset val="134"/>
        <scheme val="minor"/>
      </rPr>
      <t>为满分标准；
大于等于满分标准*90%，小于满分标准*100%为4分
大于等于满分标准*80%，小于满分标准*90%为3分
大于等于满分标准*70%，小于满分标准*80%为2分
大于等于满分标准*60%，小于满分标准*70%为1分
低于满分标准*60%为0分</t>
    </r>
  </si>
  <si>
    <r>
      <rPr>
        <sz val="12"/>
        <rFont val="宋体"/>
        <charset val="134"/>
        <scheme val="minor"/>
      </rPr>
      <t xml:space="preserve">个人老品净利润率得分：
</t>
    </r>
    <r>
      <rPr>
        <sz val="12"/>
        <color rgb="FFFF0000"/>
        <rFont val="宋体"/>
        <charset val="134"/>
        <scheme val="minor"/>
      </rPr>
      <t>以大组平均净利润率</t>
    </r>
    <r>
      <rPr>
        <sz val="12"/>
        <rFont val="宋体"/>
        <charset val="134"/>
        <scheme val="minor"/>
      </rPr>
      <t>上浮一定比例为满分标准，满分15分，每少1%扣1.5分；
若大组平均净利润率为前10%，则上浮10%；
若大组平均净利润率介于前10%与30%之间，则上浮15%；
若大组平均净利润率为前30%之后，则上浮20%</t>
    </r>
  </si>
  <si>
    <t>广告占比≤ 8%为满分，满分7.5分，每多1%扣1分 （考核常规老品）</t>
  </si>
  <si>
    <t>滞销（滞销豁免部分也需要同步）占比≤3%为满分，满分7.5分，每超过1%扣1分</t>
  </si>
  <si>
    <t>复盘&amp;培养</t>
  </si>
  <si>
    <t>复盘</t>
  </si>
  <si>
    <t>每月至少参与1次复盘，帮团队解决问题，季度整理出有效经验输出给小组同事</t>
  </si>
  <si>
    <t>培养/人才储备</t>
  </si>
  <si>
    <t>完成小组导师，储备组长的培养和储备工作，确定合适名单，若缺少储备1个扣3分；培养质量方面上级根据实际培养输出质量综合评估。</t>
  </si>
  <si>
    <t>备注</t>
  </si>
  <si>
    <t>注：kpi奖金为3500*KPI；KPI在60分以下没有奖金</t>
  </si>
  <si>
    <t>绩效构成</t>
  </si>
  <si>
    <t>个人/团队老品维护激励制度</t>
  </si>
  <si>
    <t>个人本期，去年同期同为老品的品均净利润增长率作为老品激励参考
以个人增幅前20%的增幅A作为激励标准</t>
  </si>
  <si>
    <t>组员激励</t>
  </si>
  <si>
    <t>增幅A%～A+5%</t>
  </si>
  <si>
    <t>增幅A+5%～A+10%</t>
  </si>
  <si>
    <t>增幅A+10%～A+15%</t>
  </si>
  <si>
    <t>增幅A+15%～A+20%</t>
  </si>
  <si>
    <t>增幅A+20%～A+30%</t>
  </si>
  <si>
    <t>增幅A+30%以上</t>
  </si>
  <si>
    <t>若老品维护目标超额完成，且新品KPI分数大于35分（满分50分），新老品同步按照上表进行奖励</t>
  </si>
  <si>
    <t>其他备注</t>
  </si>
  <si>
    <t>半精品销售助理绩效KPI考核方案</t>
  </si>
  <si>
    <t>个人本期，去年同期同为老品的品均净利润增长率得分：
品均同比增长率大于-10%为满分25分，每下降1%扣1分（如果大于5%则有超额提点激励，详情见下表）</t>
  </si>
  <si>
    <r>
      <rPr>
        <sz val="11"/>
        <rFont val="宋体"/>
        <charset val="134"/>
        <scheme val="minor"/>
      </rPr>
      <t xml:space="preserve">个人本期为老品，去年同期为新品的品均净利润区间得分：
</t>
    </r>
    <r>
      <rPr>
        <sz val="11"/>
        <color rgb="FFFF0000"/>
        <rFont val="宋体"/>
        <charset val="134"/>
        <scheme val="minor"/>
      </rPr>
      <t>以大组品均净利润的1.1倍</t>
    </r>
    <r>
      <rPr>
        <sz val="11"/>
        <rFont val="宋体"/>
        <charset val="134"/>
        <scheme val="minor"/>
      </rPr>
      <t>为满分标准，满分为5分；
大于等于满分标准*90%，小于满分标准*100%为4分
大于等于满分标准*80%，小于满分标准*90%为3分
大于等于满分标准*70%，小于满分标准*80%为2分
大于等于满分标准*60%，小于满分标准*70%为1分
低于满分标准*60%为0分</t>
    </r>
  </si>
  <si>
    <r>
      <rPr>
        <sz val="11"/>
        <rFont val="宋体"/>
        <charset val="134"/>
        <scheme val="minor"/>
      </rPr>
      <t xml:space="preserve">个人老品净利润率得分：
</t>
    </r>
    <r>
      <rPr>
        <sz val="11"/>
        <color rgb="FFFF0000"/>
        <rFont val="宋体"/>
        <charset val="134"/>
        <scheme val="minor"/>
      </rPr>
      <t>以大组平均净利润率</t>
    </r>
    <r>
      <rPr>
        <sz val="11"/>
        <rFont val="宋体"/>
        <charset val="134"/>
        <scheme val="minor"/>
      </rPr>
      <t>上浮一定比例为满分标准，满分25分，每少1%扣2.5分；
若大组平均净利润率为前10%，则上浮10%；
若大组平均净利润率介于前10%与30%之间，则上浮15%；
若大组平均净利润率为前30%之后，则上浮20%</t>
    </r>
  </si>
  <si>
    <t>广告占比≤ 8%为满分，满分10分，每多1%扣1分 （考核常规老品）</t>
  </si>
  <si>
    <t>滞销（滞销豁免部分也需要同步）占比≤3%为满分，满分10分，每超过1%扣1分</t>
  </si>
  <si>
    <t>上架管理</t>
  </si>
  <si>
    <t>listing文案，关键词质量考核</t>
  </si>
  <si>
    <t>1、数量要求：每月平均一周至少要完成3个sku的listing文案（具体的数据可根据实际分配数量来）
2、产品Listing时效：分配好的产品需要当天完成，最迟不超过2天，Listing书写时间控制在1个小时左右；
3、文案&amp;关键词准确度：产品文案和关键词写好需要上级检查质量，质量无误</t>
  </si>
  <si>
    <t>客户口碑</t>
  </si>
  <si>
    <t>内外部满意度</t>
  </si>
  <si>
    <t>跨部门/上级/导师对工作任务完成的满意度反馈，包含负面反馈、正面反馈
包含不限于日常任务完成的及时性和质量</t>
  </si>
  <si>
    <t>若分值低于60分，无绩效，该助理销售暂停接原销售的产品，经多次指导培训无法达到主销售要求的则进入POA流程</t>
  </si>
  <si>
    <t>销售助理绩效</t>
  </si>
  <si>
    <t>绩效基数</t>
  </si>
  <si>
    <t>KPI指标</t>
  </si>
  <si>
    <t>助理奖金基数</t>
  </si>
  <si>
    <t>95以上</t>
  </si>
  <si>
    <t>90～95</t>
  </si>
  <si>
    <t>80～90</t>
  </si>
  <si>
    <t>70～80</t>
  </si>
  <si>
    <t>60～70</t>
  </si>
  <si>
    <t>60以下</t>
  </si>
  <si>
    <t>岗位名称</t>
  </si>
  <si>
    <t>配置对象</t>
  </si>
  <si>
    <t>主要负责内容</t>
  </si>
  <si>
    <t>岗位能力要求</t>
  </si>
  <si>
    <t>晋级数据要求</t>
  </si>
  <si>
    <t>半精品销售助理</t>
  </si>
  <si>
    <r>
      <rPr>
        <sz val="10"/>
        <color rgb="FF000000"/>
        <rFont val="宋体"/>
        <charset val="134"/>
        <scheme val="minor"/>
      </rPr>
      <t>需满足以下条件: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1.个人业绩前20%的管理层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2.饱和维护时长已超过阈值8H且产品量大于350+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3.需上报部门主管初审，BP、经理复审，会再结合组织整体需求评估</t>
    </r>
  </si>
  <si>
    <r>
      <rPr>
        <sz val="10"/>
        <color rgb="FF000000"/>
        <rFont val="宋体"/>
        <charset val="134"/>
        <scheme val="minor"/>
      </rPr>
      <t>1、不独立承接新品打造，协助独立销售进行上架前期准备、新品前期文案listing的撰写等；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2、与独立销售建立老品维护编号，负责老品打造的整个周期管理，确保销量利润提升</t>
    </r>
  </si>
  <si>
    <r>
      <rPr>
        <sz val="10"/>
        <color rgb="FF000000"/>
        <rFont val="宋体"/>
        <charset val="134"/>
        <scheme val="minor"/>
      </rPr>
      <t>1、熟悉基本的市场分析和广告打造和跟进思维；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2、能够高效高质协助独立销售的新老品打造及维护工作；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3、内外部获得良好口碑</t>
    </r>
  </si>
  <si>
    <r>
      <rPr>
        <sz val="10"/>
        <color rgb="FF000000"/>
        <rFont val="宋体"/>
        <charset val="134"/>
        <scheme val="minor"/>
      </rPr>
      <t>销售助理满足入职一年以上可申请转销售，具体达标要求如下：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1. KPI连续2个季度均值在90分以上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老品维护数量达到150-200，老品季度均SKU净利润高于部门老品均SKU净利润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3. 近半年无内外部负面反馈，季度有客户口碑不少于5例</t>
    </r>
  </si>
  <si>
    <t>试用期：薪资结构=底薪+加班费
转正后：薪资结构=底薪+季度绩效KPI+绩效提成
半精品销售助理绩效KPI考核方案
备注：绩效提点由原销售根据情况给助理销售设置产品维护提点20%～30%，原销售提点为80%～90%，总比例不超过110%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</si>
</sst>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0.0%"/>
  </numFmts>
  <fonts count="30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b/>
      <sz val="36"/>
      <name val="宋体"/>
      <charset val="134"/>
      <scheme val="minor"/>
    </font>
    <font>
      <b/>
      <sz val="22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176" fontId="4" fillId="0" borderId="0" xfId="0" applyNumberFormat="1" applyFont="1" applyFill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Fill="1">
      <alignment vertical="center"/>
    </xf>
    <xf numFmtId="0" fontId="4" fillId="0" borderId="1" xfId="0" applyFont="1" applyFill="1" applyBorder="1">
      <alignment vertical="center"/>
    </xf>
    <xf numFmtId="176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9" fontId="4" fillId="0" borderId="1" xfId="0" applyNumberFormat="1" applyFont="1" applyFill="1" applyBorder="1" applyAlignment="1">
      <alignment horizontal="left" vertical="center"/>
    </xf>
    <xf numFmtId="9" fontId="4" fillId="0" borderId="0" xfId="0" applyNumberFormat="1" applyFont="1" applyFill="1" applyAlignment="1">
      <alignment horizontal="left" vertical="center"/>
    </xf>
    <xf numFmtId="177" fontId="4" fillId="0" borderId="1" xfId="0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9" fontId="5" fillId="0" borderId="2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76" fontId="5" fillId="0" borderId="5" xfId="0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76" fontId="5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9" fontId="5" fillId="0" borderId="2" xfId="0" applyNumberFormat="1" applyFont="1" applyBorder="1" applyAlignment="1">
      <alignment horizontal="left" vertical="center"/>
    </xf>
    <xf numFmtId="9" fontId="5" fillId="0" borderId="0" xfId="0" applyNumberFormat="1" applyFont="1" applyAlignment="1">
      <alignment horizontal="left" vertical="center"/>
    </xf>
    <xf numFmtId="178" fontId="5" fillId="0" borderId="2" xfId="0" applyNumberFormat="1" applyFont="1" applyBorder="1" applyAlignment="1">
      <alignment horizontal="left" vertical="center"/>
    </xf>
    <xf numFmtId="177" fontId="5" fillId="0" borderId="2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.weixin.qq.com/sheet/e3_AMgA5QbxADYCNT7FbuUjATVONyUC2?scode=AGgAIQe6AA4Kgla7N1AMgA5QbxADY&amp;tab=BB08J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zoomScale="80" zoomScaleNormal="80" topLeftCell="A3" workbookViewId="0">
      <selection activeCell="A3" sqref="A3:F7"/>
    </sheetView>
  </sheetViews>
  <sheetFormatPr defaultColWidth="9.23333333333333" defaultRowHeight="14.25"/>
  <cols>
    <col min="1" max="1" width="43.1416666666667" style="32" customWidth="1"/>
    <col min="2" max="2" width="30.125" style="32" customWidth="1"/>
    <col min="3" max="3" width="83.8166666666667" style="32" customWidth="1"/>
    <col min="4" max="4" width="18.5833333333333" style="32" customWidth="1"/>
    <col min="5" max="5" width="18.5833333333333" style="33" customWidth="1"/>
    <col min="6" max="6" width="25.475" style="32" customWidth="1"/>
    <col min="7" max="7" width="51.6083333333333" style="32" customWidth="1"/>
    <col min="8" max="8" width="15.0583333333333" style="32" customWidth="1"/>
    <col min="9" max="9" width="13.775" style="32" customWidth="1"/>
    <col min="10" max="16384" width="9.23333333333333" style="32"/>
  </cols>
  <sheetData>
    <row r="1" s="32" customFormat="1" ht="63" customHeight="1" spans="1:9">
      <c r="A1" s="34" t="s">
        <v>0</v>
      </c>
      <c r="B1" s="35"/>
      <c r="C1" s="35"/>
      <c r="D1" s="35"/>
      <c r="E1" s="36"/>
      <c r="F1" s="37"/>
    </row>
    <row r="2" s="32" customFormat="1" ht="67" customHeight="1" spans="1:9">
      <c r="A2" s="38"/>
      <c r="B2" s="38" t="s">
        <v>1</v>
      </c>
      <c r="C2" s="38" t="s">
        <v>2</v>
      </c>
      <c r="D2" s="38" t="s">
        <v>3</v>
      </c>
      <c r="E2" s="39" t="s">
        <v>4</v>
      </c>
      <c r="F2" s="38" t="s">
        <v>5</v>
      </c>
    </row>
    <row r="3" s="32" customFormat="1" ht="80" customHeight="1" spans="1:9">
      <c r="A3" s="40" t="s">
        <v>6</v>
      </c>
      <c r="B3" s="38" t="s">
        <v>7</v>
      </c>
      <c r="C3" s="40" t="s">
        <v>8</v>
      </c>
      <c r="D3" s="41">
        <v>0.3</v>
      </c>
      <c r="E3" s="39">
        <f t="shared" ref="E3:E6" si="0">100*D3</f>
        <v>30</v>
      </c>
      <c r="F3" s="38"/>
    </row>
    <row r="4" s="32" customFormat="1" ht="67" customHeight="1" spans="1:9">
      <c r="A4" s="40"/>
      <c r="B4" s="38" t="s">
        <v>9</v>
      </c>
      <c r="C4" s="40" t="s">
        <v>10</v>
      </c>
      <c r="D4" s="41">
        <v>0.25</v>
      </c>
      <c r="E4" s="39">
        <f t="shared" si="0"/>
        <v>25</v>
      </c>
      <c r="F4" s="38"/>
      <c r="H4" s="42"/>
      <c r="I4" s="42"/>
    </row>
    <row r="5" s="32" customFormat="1" ht="62" customHeight="1" spans="1:9">
      <c r="A5" s="40"/>
      <c r="B5" s="38" t="s">
        <v>11</v>
      </c>
      <c r="C5" s="40" t="s">
        <v>12</v>
      </c>
      <c r="D5" s="43">
        <v>0.125</v>
      </c>
      <c r="E5" s="44">
        <f t="shared" si="0"/>
        <v>12.5</v>
      </c>
      <c r="F5" s="38"/>
      <c r="H5" s="42"/>
    </row>
    <row r="6" s="32" customFormat="1" ht="74" customHeight="1" spans="1:9">
      <c r="A6" s="40"/>
      <c r="B6" s="38" t="s">
        <v>13</v>
      </c>
      <c r="C6" s="40" t="s">
        <v>14</v>
      </c>
      <c r="D6" s="43">
        <v>0.125</v>
      </c>
      <c r="E6" s="44">
        <f t="shared" si="0"/>
        <v>12.5</v>
      </c>
      <c r="F6" s="38"/>
      <c r="G6" s="45"/>
    </row>
    <row r="7" s="32" customFormat="1" ht="65" customHeight="1" spans="1:9">
      <c r="A7" s="40" t="s">
        <v>15</v>
      </c>
      <c r="B7" s="38" t="s">
        <v>16</v>
      </c>
      <c r="C7" s="40" t="s">
        <v>17</v>
      </c>
      <c r="D7" s="41">
        <v>0.2</v>
      </c>
      <c r="E7" s="39">
        <v>20</v>
      </c>
      <c r="F7" s="38"/>
    </row>
    <row r="8" s="32" customFormat="1" ht="81" customHeight="1" spans="1:9">
      <c r="A8" s="38" t="s">
        <v>18</v>
      </c>
      <c r="B8" s="38"/>
      <c r="C8" s="38"/>
      <c r="D8" s="41">
        <v>1</v>
      </c>
      <c r="E8" s="39">
        <f>100*D8</f>
        <v>100</v>
      </c>
      <c r="F8" s="38"/>
    </row>
    <row r="9" s="32" customFormat="1" ht="53" customHeight="1" spans="1:9">
      <c r="E9" s="33"/>
    </row>
    <row r="10" s="32" customFormat="1" ht="62" customHeight="1" spans="1:9">
      <c r="A10" s="40" t="s">
        <v>19</v>
      </c>
      <c r="B10" s="40"/>
      <c r="C10" s="40"/>
      <c r="D10" s="32"/>
      <c r="E10" s="33"/>
    </row>
    <row r="11" s="32" customFormat="1" ht="51" customHeight="1" spans="1:9">
      <c r="A11" s="46"/>
      <c r="B11" s="46"/>
      <c r="C11" s="46"/>
      <c r="E11" s="33"/>
    </row>
    <row r="12" s="32" customFormat="1" ht="59" customHeight="1" spans="1:9">
      <c r="A12" s="46"/>
      <c r="B12" s="46"/>
      <c r="C12" s="46"/>
      <c r="E12" s="33"/>
    </row>
    <row r="13" s="32" customFormat="1" ht="48" customHeight="1" spans="1:9">
      <c r="A13" s="46"/>
      <c r="B13" s="46"/>
      <c r="C13" s="46"/>
      <c r="E13" s="33"/>
    </row>
    <row r="14" s="32" customFormat="1" ht="56" customHeight="1" spans="1:9">
      <c r="C14" s="46"/>
      <c r="E14" s="33"/>
    </row>
    <row r="15" s="32" customFormat="1" ht="51" customHeight="1" spans="1:9">
      <c r="A15" s="46"/>
      <c r="B15" s="46"/>
      <c r="C15" s="46"/>
      <c r="E15" s="33"/>
    </row>
    <row r="16" s="32" customFormat="1" ht="52" customHeight="1" spans="1:9">
      <c r="A16" s="46"/>
      <c r="B16" s="46"/>
      <c r="C16" s="46"/>
      <c r="E16" s="33"/>
    </row>
    <row r="17" s="32" customFormat="1" ht="55" customHeight="1" spans="1:5">
      <c r="A17" s="46"/>
      <c r="B17" s="46"/>
      <c r="C17" s="46"/>
      <c r="E17" s="33"/>
    </row>
    <row r="18" s="32" customFormat="1" ht="52" customHeight="1" spans="1:5">
      <c r="C18" s="46"/>
      <c r="E18" s="33"/>
    </row>
    <row r="19" s="32" customFormat="1" ht="54" customHeight="1" spans="1:5">
      <c r="A19" s="46"/>
      <c r="B19" s="46"/>
      <c r="C19" s="46"/>
      <c r="E19" s="33"/>
    </row>
    <row r="20" s="32" customFormat="1" ht="71" customHeight="1" spans="1:5">
      <c r="C20" s="46"/>
      <c r="E20" s="33"/>
    </row>
    <row r="21" s="32" customFormat="1" ht="66" customHeight="1" spans="1:5">
      <c r="C21" s="46"/>
      <c r="E21" s="33"/>
    </row>
    <row r="22" s="32" customFormat="1" ht="66" customHeight="1" spans="1:5">
      <c r="C22" s="46"/>
      <c r="E22" s="33"/>
    </row>
    <row r="23" s="32" customFormat="1" ht="75" customHeight="1" spans="1:5">
      <c r="C23" s="46"/>
      <c r="E23" s="33"/>
    </row>
    <row r="24" s="32" customFormat="1" ht="71" customHeight="1" spans="1:5">
      <c r="C24" s="46"/>
      <c r="E24" s="33"/>
    </row>
    <row r="25" s="32" customFormat="1" ht="42" customHeight="1" spans="1:5">
      <c r="C25" s="46"/>
      <c r="E25" s="33"/>
    </row>
    <row r="26" s="32" customFormat="1" ht="59" customHeight="1" spans="1:5">
      <c r="C26" s="46"/>
      <c r="E26" s="33"/>
    </row>
    <row r="27" s="32" customFormat="1" ht="60" customHeight="1" spans="1:5">
      <c r="C27" s="46"/>
      <c r="E27" s="33"/>
    </row>
    <row r="28" s="32" customFormat="1" ht="48" customHeight="1" spans="1:5">
      <c r="C28" s="46"/>
      <c r="E28" s="33"/>
    </row>
    <row r="29" ht="50" customHeight="1"/>
    <row r="30" ht="55" customHeight="1"/>
    <row r="31" ht="56" customHeight="1"/>
  </sheetData>
  <mergeCells count="3">
    <mergeCell ref="A1:F1"/>
    <mergeCell ref="A10:C10"/>
    <mergeCell ref="A3:A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zoomScale="80" zoomScaleNormal="80" workbookViewId="0">
      <pane ySplit="3" topLeftCell="A4" activePane="bottomLeft" state="frozen"/>
      <selection/>
      <selection pane="bottomLeft" activeCell="E3" sqref="E$1:F$1048576"/>
    </sheetView>
  </sheetViews>
  <sheetFormatPr defaultColWidth="14.825" defaultRowHeight="14.25" outlineLevelCol="5"/>
  <cols>
    <col min="1" max="1" width="22.8833333333333" style="21" customWidth="1"/>
    <col min="2" max="2" width="29.15" style="21" customWidth="1"/>
    <col min="3" max="3" width="62.3083333333333" style="21" customWidth="1"/>
    <col min="4" max="4" width="6.30833333333333" style="21" customWidth="1"/>
    <col min="5" max="6" width="14.825" style="5" customWidth="1"/>
    <col min="7" max="16379" width="14.825" style="21" customWidth="1"/>
    <col min="16380" max="16384" width="14.825" style="21"/>
  </cols>
  <sheetData>
    <row r="1" s="20" customFormat="1" ht="46.5" spans="1:6">
      <c r="A1" s="23" t="s">
        <v>20</v>
      </c>
      <c r="B1" s="23"/>
      <c r="C1" s="23"/>
      <c r="D1" s="23"/>
      <c r="E1" s="24"/>
      <c r="F1" s="24"/>
    </row>
    <row r="2" s="20" customFormat="1" ht="27" spans="1:6">
      <c r="A2" s="25"/>
      <c r="B2" s="25"/>
      <c r="C2" s="26" t="s">
        <v>21</v>
      </c>
      <c r="D2" s="26"/>
      <c r="E2" s="24"/>
      <c r="F2" s="24"/>
    </row>
    <row r="3" s="21" customFormat="1" spans="1:6">
      <c r="A3" s="27" t="s">
        <v>22</v>
      </c>
      <c r="B3" s="27" t="s">
        <v>23</v>
      </c>
      <c r="C3" s="27" t="s">
        <v>2</v>
      </c>
      <c r="D3" s="27" t="s">
        <v>4</v>
      </c>
      <c r="E3" s="5"/>
      <c r="F3" s="5"/>
    </row>
    <row r="4" s="21" customFormat="1" ht="71.25" spans="1:6">
      <c r="A4" s="27" t="s">
        <v>24</v>
      </c>
      <c r="B4" s="27" t="s">
        <v>25</v>
      </c>
      <c r="C4" s="28" t="s">
        <v>26</v>
      </c>
      <c r="D4" s="28">
        <v>20</v>
      </c>
      <c r="E4" s="5"/>
      <c r="F4" s="5"/>
    </row>
    <row r="5" s="21" customFormat="1" ht="85.5" spans="1:6">
      <c r="A5" s="27"/>
      <c r="B5" s="27" t="s">
        <v>9</v>
      </c>
      <c r="C5" s="28" t="s">
        <v>27</v>
      </c>
      <c r="D5" s="28">
        <v>15</v>
      </c>
      <c r="E5" s="5"/>
      <c r="F5" s="5"/>
    </row>
    <row r="6" s="21" customFormat="1" ht="42.75" spans="1:6">
      <c r="A6" s="27"/>
      <c r="B6" s="27" t="s">
        <v>28</v>
      </c>
      <c r="C6" s="29" t="s">
        <v>29</v>
      </c>
      <c r="D6" s="28">
        <v>10</v>
      </c>
      <c r="E6" s="5"/>
      <c r="F6" s="5"/>
    </row>
    <row r="7" s="21" customFormat="1" ht="28.5" spans="1:6">
      <c r="A7" s="27"/>
      <c r="B7" s="27" t="s">
        <v>11</v>
      </c>
      <c r="C7" s="28" t="s">
        <v>30</v>
      </c>
      <c r="D7" s="28">
        <v>5</v>
      </c>
      <c r="E7" s="5"/>
      <c r="F7" s="5"/>
    </row>
    <row r="8" ht="42.75" spans="1:6">
      <c r="A8" s="27" t="s">
        <v>31</v>
      </c>
      <c r="B8" s="27" t="s">
        <v>32</v>
      </c>
      <c r="C8" s="28" t="s">
        <v>33</v>
      </c>
      <c r="D8" s="28">
        <v>15</v>
      </c>
    </row>
    <row r="9" ht="99.75" spans="1:6">
      <c r="A9" s="27"/>
      <c r="B9" s="27" t="s">
        <v>34</v>
      </c>
      <c r="C9" s="28" t="s">
        <v>35</v>
      </c>
      <c r="D9" s="28">
        <v>5</v>
      </c>
    </row>
    <row r="10" ht="85.5" spans="1:6">
      <c r="A10" s="27"/>
      <c r="B10" s="27" t="s">
        <v>9</v>
      </c>
      <c r="C10" s="28" t="s">
        <v>36</v>
      </c>
      <c r="D10" s="28">
        <v>15</v>
      </c>
    </row>
    <row r="11" spans="1:6">
      <c r="A11" s="27"/>
      <c r="B11" s="27" t="s">
        <v>11</v>
      </c>
      <c r="C11" s="28" t="s">
        <v>37</v>
      </c>
      <c r="D11" s="28">
        <v>7.5</v>
      </c>
    </row>
    <row r="12" s="21" customFormat="1" ht="28.5" spans="1:6">
      <c r="A12" s="27"/>
      <c r="B12" s="27" t="s">
        <v>13</v>
      </c>
      <c r="C12" s="28" t="s">
        <v>38</v>
      </c>
      <c r="D12" s="28">
        <v>7.5</v>
      </c>
      <c r="E12" s="5"/>
      <c r="F12" s="5"/>
    </row>
    <row r="13" s="21" customFormat="1" ht="28.5" spans="1:6">
      <c r="A13" s="27" t="s">
        <v>39</v>
      </c>
      <c r="B13" s="27" t="s">
        <v>40</v>
      </c>
      <c r="C13" s="28" t="s">
        <v>41</v>
      </c>
      <c r="D13" s="28">
        <v>0</v>
      </c>
      <c r="E13" s="5"/>
      <c r="F13" s="5"/>
    </row>
    <row r="14" s="21" customFormat="1" ht="28.5" spans="1:6">
      <c r="A14" s="27"/>
      <c r="B14" s="27" t="s">
        <v>42</v>
      </c>
      <c r="C14" s="28" t="s">
        <v>43</v>
      </c>
      <c r="D14" s="28">
        <v>0</v>
      </c>
      <c r="E14" s="5"/>
      <c r="F14" s="5"/>
    </row>
    <row r="15" s="21" customFormat="1" spans="1:6">
      <c r="A15" s="27" t="s">
        <v>44</v>
      </c>
      <c r="B15" s="27"/>
      <c r="C15" s="28" t="s">
        <v>45</v>
      </c>
      <c r="D15" s="27">
        <f>SUM(D4:D14)</f>
        <v>100</v>
      </c>
      <c r="E15" s="5"/>
      <c r="F15" s="5"/>
    </row>
    <row r="16" s="22" customFormat="1" spans="1:6">
      <c r="A16" s="28" t="s">
        <v>46</v>
      </c>
      <c r="B16" s="28"/>
      <c r="C16" s="28"/>
      <c r="D16" s="28"/>
      <c r="E16" s="5"/>
      <c r="F16" s="5"/>
    </row>
    <row r="17" s="22" customFormat="1" ht="28.5" spans="1:6">
      <c r="A17" s="28" t="s">
        <v>47</v>
      </c>
      <c r="B17" s="28"/>
      <c r="C17" s="28" t="s">
        <v>48</v>
      </c>
      <c r="D17" s="28" t="s">
        <v>49</v>
      </c>
      <c r="E17" s="5"/>
      <c r="F17" s="5"/>
    </row>
    <row r="18" s="22" customFormat="1" spans="1:6">
      <c r="A18" s="28"/>
      <c r="B18" s="28"/>
      <c r="C18" s="30" t="s">
        <v>50</v>
      </c>
      <c r="D18" s="31">
        <v>0.05</v>
      </c>
      <c r="E18" s="5"/>
      <c r="F18" s="5"/>
    </row>
    <row r="19" s="22" customFormat="1" spans="1:6">
      <c r="A19" s="28"/>
      <c r="B19" s="28"/>
      <c r="C19" s="30" t="s">
        <v>51</v>
      </c>
      <c r="D19" s="31">
        <v>0.1</v>
      </c>
      <c r="E19" s="5"/>
      <c r="F19" s="5"/>
    </row>
    <row r="20" s="22" customFormat="1" spans="1:6">
      <c r="A20" s="28"/>
      <c r="B20" s="28"/>
      <c r="C20" s="30" t="s">
        <v>52</v>
      </c>
      <c r="D20" s="31">
        <v>0.15</v>
      </c>
      <c r="E20" s="5"/>
      <c r="F20" s="5"/>
    </row>
    <row r="21" s="22" customFormat="1" spans="1:6">
      <c r="A21" s="28"/>
      <c r="B21" s="28"/>
      <c r="C21" s="30" t="s">
        <v>53</v>
      </c>
      <c r="D21" s="31">
        <v>0.2</v>
      </c>
      <c r="E21" s="5"/>
      <c r="F21" s="5"/>
    </row>
    <row r="22" s="22" customFormat="1" spans="1:6">
      <c r="A22" s="28"/>
      <c r="B22" s="28"/>
      <c r="C22" s="30" t="s">
        <v>54</v>
      </c>
      <c r="D22" s="31">
        <v>0.25</v>
      </c>
      <c r="E22" s="5"/>
      <c r="F22" s="5"/>
    </row>
    <row r="23" s="22" customFormat="1" spans="1:6">
      <c r="A23" s="28"/>
      <c r="B23" s="28"/>
      <c r="C23" s="30" t="s">
        <v>55</v>
      </c>
      <c r="D23" s="31">
        <v>0.3</v>
      </c>
      <c r="E23" s="5"/>
      <c r="F23" s="5"/>
    </row>
    <row r="24" s="22" customFormat="1" ht="28.5" spans="1:6">
      <c r="A24" s="28"/>
      <c r="B24" s="28"/>
      <c r="C24" s="28" t="s">
        <v>56</v>
      </c>
      <c r="D24" s="28"/>
      <c r="E24" s="5"/>
      <c r="F24" s="5"/>
    </row>
    <row r="25" s="22" customFormat="1" spans="1:6">
      <c r="A25" s="28" t="s">
        <v>57</v>
      </c>
      <c r="B25" s="28"/>
      <c r="C25" s="28"/>
      <c r="D25" s="28"/>
      <c r="E25" s="5"/>
      <c r="F25" s="5"/>
    </row>
    <row r="26" s="21" customFormat="1" spans="1:6">
      <c r="E26" s="5"/>
      <c r="F26" s="5"/>
    </row>
    <row r="27" s="21" customFormat="1" spans="1:6">
      <c r="E27" s="5"/>
      <c r="F27" s="5"/>
    </row>
    <row r="28" s="21" customFormat="1" spans="1:6">
      <c r="E28" s="5"/>
      <c r="F28" s="5"/>
    </row>
  </sheetData>
  <mergeCells count="6">
    <mergeCell ref="A1:D1"/>
    <mergeCell ref="C2:D2"/>
    <mergeCell ref="A4:A7"/>
    <mergeCell ref="A8:A12"/>
    <mergeCell ref="A13:A14"/>
    <mergeCell ref="A17:A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1"/>
  <sheetViews>
    <sheetView workbookViewId="0">
      <selection activeCell="C20" sqref="C20"/>
    </sheetView>
  </sheetViews>
  <sheetFormatPr defaultColWidth="9.23333333333333" defaultRowHeight="13.5"/>
  <cols>
    <col min="1" max="1" width="11.7333333333333" style="5" customWidth="1"/>
    <col min="2" max="2" width="31" style="5" customWidth="1"/>
    <col min="3" max="3" width="78.4583333333333" style="5" customWidth="1"/>
    <col min="4" max="4" width="6.45833333333333" style="5" customWidth="1"/>
    <col min="5" max="5" width="6" style="6" customWidth="1"/>
    <col min="6" max="6" width="6" style="5" customWidth="1"/>
    <col min="7" max="7" width="51.6083333333333" style="5" customWidth="1"/>
    <col min="8" max="8" width="15.0583333333333" style="5" customWidth="1"/>
    <col min="9" max="9" width="13.775" style="5" customWidth="1"/>
    <col min="10" max="16384" width="9.23333333333333" style="5"/>
  </cols>
  <sheetData>
    <row r="1" s="5" customFormat="1" spans="1:26">
      <c r="A1" s="7" t="s">
        <v>58</v>
      </c>
      <c r="B1" s="7"/>
      <c r="C1" s="7"/>
      <c r="D1" s="7"/>
      <c r="E1" s="7"/>
      <c r="F1" s="7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="5" customFormat="1" spans="1:26">
      <c r="A2" s="9"/>
      <c r="B2" s="7" t="s">
        <v>1</v>
      </c>
      <c r="C2" s="7" t="s">
        <v>2</v>
      </c>
      <c r="D2" s="7" t="s">
        <v>3</v>
      </c>
      <c r="E2" s="10" t="s">
        <v>4</v>
      </c>
      <c r="F2" s="7" t="s">
        <v>5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="5" customFormat="1" ht="40.5" spans="1:26">
      <c r="A3" s="11" t="s">
        <v>6</v>
      </c>
      <c r="B3" s="7" t="s">
        <v>7</v>
      </c>
      <c r="C3" s="12" t="s">
        <v>59</v>
      </c>
      <c r="D3" s="13">
        <v>0.25</v>
      </c>
      <c r="E3" s="10">
        <v>30</v>
      </c>
      <c r="F3" s="9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="5" customFormat="1" ht="94.5" spans="1:26">
      <c r="A4" s="11"/>
      <c r="B4" s="7"/>
      <c r="C4" s="12" t="s">
        <v>60</v>
      </c>
      <c r="D4" s="13">
        <v>0.05</v>
      </c>
      <c r="E4" s="10"/>
      <c r="F4" s="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="5" customFormat="1" ht="67.5" spans="1:26">
      <c r="A5" s="11"/>
      <c r="B5" s="7" t="s">
        <v>9</v>
      </c>
      <c r="C5" s="11" t="s">
        <v>61</v>
      </c>
      <c r="D5" s="13">
        <v>0.25</v>
      </c>
      <c r="E5" s="10">
        <v>25</v>
      </c>
      <c r="F5" s="9"/>
      <c r="G5" s="8"/>
      <c r="H5" s="14"/>
      <c r="I5" s="14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="5" customFormat="1" spans="1:26">
      <c r="A6" s="11"/>
      <c r="B6" s="7" t="s">
        <v>11</v>
      </c>
      <c r="C6" s="11" t="s">
        <v>62</v>
      </c>
      <c r="D6" s="13">
        <v>0.1</v>
      </c>
      <c r="E6" s="15">
        <v>10</v>
      </c>
      <c r="F6" s="9"/>
      <c r="G6" s="8"/>
      <c r="H6" s="14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="5" customFormat="1" spans="1:26">
      <c r="A7" s="11"/>
      <c r="B7" s="7" t="s">
        <v>13</v>
      </c>
      <c r="C7" s="11" t="s">
        <v>63</v>
      </c>
      <c r="D7" s="13">
        <v>0.1</v>
      </c>
      <c r="E7" s="15">
        <v>10</v>
      </c>
      <c r="F7" s="9"/>
      <c r="G7" s="16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="5" customFormat="1" ht="67.5" spans="1:26">
      <c r="A8" s="11" t="s">
        <v>64</v>
      </c>
      <c r="B8" s="7" t="s">
        <v>65</v>
      </c>
      <c r="C8" s="11" t="s">
        <v>66</v>
      </c>
      <c r="D8" s="13">
        <v>0.15</v>
      </c>
      <c r="E8" s="10">
        <v>15</v>
      </c>
      <c r="F8" s="9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="5" customFormat="1" ht="27" spans="1:26">
      <c r="A9" s="11" t="s">
        <v>67</v>
      </c>
      <c r="B9" s="7" t="s">
        <v>68</v>
      </c>
      <c r="C9" s="11" t="s">
        <v>69</v>
      </c>
      <c r="D9" s="13">
        <v>0.1</v>
      </c>
      <c r="E9" s="10">
        <v>10</v>
      </c>
      <c r="F9" s="9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="5" customFormat="1" spans="1:26">
      <c r="A10" s="7" t="s">
        <v>18</v>
      </c>
      <c r="B10" s="9"/>
      <c r="C10" s="9"/>
      <c r="D10" s="13">
        <v>1</v>
      </c>
      <c r="E10" s="13"/>
      <c r="F10" s="9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="5" customFormat="1" spans="1:26">
      <c r="A11" s="8"/>
      <c r="B11" s="8"/>
      <c r="C11" s="8"/>
      <c r="D11" s="8"/>
      <c r="E11" s="6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="5" customFormat="1" spans="1:26">
      <c r="A12" s="17" t="s">
        <v>70</v>
      </c>
      <c r="B12" s="17"/>
      <c r="C12" s="5"/>
      <c r="D12" s="8"/>
      <c r="E12" s="6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="5" customFormat="1" spans="1:26">
      <c r="A13" s="8"/>
      <c r="B13" s="8"/>
      <c r="C13" s="8"/>
      <c r="D13" s="8"/>
      <c r="E13" s="6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="5" customFormat="1" spans="1:26">
      <c r="A14" s="11" t="s">
        <v>71</v>
      </c>
      <c r="B14" s="11"/>
      <c r="C14" s="18"/>
      <c r="D14" s="8"/>
      <c r="E14" s="6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="5" customFormat="1" spans="1:26">
      <c r="A15" s="7" t="s">
        <v>72</v>
      </c>
      <c r="B15" s="7"/>
      <c r="C15" s="18"/>
      <c r="D15" s="8"/>
      <c r="E15" s="6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="5" customFormat="1" spans="1:26">
      <c r="A16" s="7" t="s">
        <v>73</v>
      </c>
      <c r="B16" s="19" t="s">
        <v>74</v>
      </c>
      <c r="C16" s="18"/>
      <c r="D16" s="8"/>
      <c r="E16" s="6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="5" customFormat="1" spans="1:26">
      <c r="A17" s="7" t="s">
        <v>75</v>
      </c>
      <c r="B17" s="19">
        <v>1500</v>
      </c>
      <c r="C17" s="18"/>
      <c r="D17" s="8"/>
      <c r="E17" s="6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="5" customFormat="1" spans="1:26">
      <c r="A18" s="7" t="s">
        <v>76</v>
      </c>
      <c r="B18" s="19">
        <v>1200</v>
      </c>
      <c r="C18" s="18"/>
      <c r="D18" s="8"/>
      <c r="E18" s="6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="5" customFormat="1" spans="1:26">
      <c r="A19" s="7" t="s">
        <v>77</v>
      </c>
      <c r="B19" s="19">
        <v>900</v>
      </c>
      <c r="C19" s="18"/>
      <c r="D19" s="8"/>
      <c r="E19" s="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="5" customFormat="1" spans="1:26">
      <c r="A20" s="7" t="s">
        <v>78</v>
      </c>
      <c r="B20" s="19">
        <v>700</v>
      </c>
      <c r="C20" s="18"/>
      <c r="D20" s="8"/>
      <c r="E20" s="6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="5" customFormat="1" spans="1:26">
      <c r="A21" s="7" t="s">
        <v>79</v>
      </c>
      <c r="B21" s="19">
        <v>500</v>
      </c>
      <c r="C21" s="18"/>
      <c r="D21" s="8"/>
      <c r="E21" s="6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="5" customFormat="1" spans="1:26">
      <c r="A22" s="7" t="s">
        <v>80</v>
      </c>
      <c r="B22" s="19">
        <v>0</v>
      </c>
      <c r="C22" s="18"/>
      <c r="D22" s="8"/>
      <c r="E22" s="6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="5" customFormat="1" spans="1:26">
      <c r="A23" s="8"/>
      <c r="B23" s="8"/>
      <c r="C23" s="8"/>
      <c r="D23" s="8"/>
      <c r="E23" s="6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="5" customFormat="1" spans="1:26">
      <c r="A24" s="8"/>
      <c r="B24" s="8"/>
      <c r="C24" s="8"/>
      <c r="D24" s="8"/>
      <c r="E24" s="6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="5" customFormat="1" spans="1:26">
      <c r="A25" s="8"/>
      <c r="B25" s="8"/>
      <c r="C25" s="8"/>
      <c r="D25" s="8"/>
      <c r="E25" s="6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="5" customFormat="1" spans="1:26">
      <c r="A26" s="8"/>
      <c r="B26" s="8"/>
      <c r="C26" s="8"/>
      <c r="D26" s="8"/>
      <c r="E26" s="6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="5" customFormat="1" spans="1:26">
      <c r="A27" s="8"/>
      <c r="B27" s="8"/>
      <c r="C27" s="8"/>
      <c r="D27" s="8"/>
      <c r="E27" s="6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="5" customFormat="1" spans="1:26">
      <c r="A28" s="8"/>
      <c r="B28" s="8"/>
      <c r="C28" s="8"/>
      <c r="D28" s="8"/>
      <c r="E28" s="6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="5" customFormat="1" spans="1:26">
      <c r="A29" s="8"/>
      <c r="B29" s="8"/>
      <c r="C29" s="8"/>
      <c r="D29" s="8"/>
      <c r="E29" s="6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="5" customFormat="1" spans="1:26">
      <c r="A30" s="8"/>
      <c r="B30" s="8"/>
      <c r="C30" s="8"/>
      <c r="D30" s="8"/>
      <c r="E30" s="6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="5" customFormat="1" spans="1:26">
      <c r="A31" s="8"/>
      <c r="B31" s="8"/>
      <c r="C31" s="8"/>
      <c r="D31" s="8"/>
      <c r="E31" s="6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>
      <c r="A32" s="8"/>
      <c r="B32" s="8"/>
      <c r="C32" s="8"/>
      <c r="D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>
      <c r="A33" s="8"/>
      <c r="B33" s="8"/>
      <c r="C33" s="8"/>
      <c r="D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>
      <c r="A34" s="8"/>
      <c r="B34" s="8"/>
      <c r="C34" s="8"/>
      <c r="D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</sheetData>
  <mergeCells count="5">
    <mergeCell ref="A1:F1"/>
    <mergeCell ref="A12:B12"/>
    <mergeCell ref="A14:B14"/>
    <mergeCell ref="A15:B15"/>
    <mergeCell ref="A3:A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D5" sqref="D5"/>
    </sheetView>
  </sheetViews>
  <sheetFormatPr defaultColWidth="35.4166666666667" defaultRowHeight="13.5" outlineLevelRow="1" outlineLevelCol="5"/>
  <cols>
    <col min="1" max="1" width="15.9583333333333" customWidth="1"/>
    <col min="2" max="2" width="35.1916666666667" customWidth="1"/>
    <col min="3" max="3" width="35.3833333333333" customWidth="1"/>
    <col min="4" max="4" width="34.425" customWidth="1"/>
    <col min="5" max="5" width="35.1916666666667" customWidth="1"/>
    <col min="6" max="6" width="35.3833333333333" customWidth="1"/>
    <col min="7" max="16384" width="35.4166666666667" customWidth="1"/>
  </cols>
  <sheetData>
    <row r="1" spans="1:6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2" t="s">
        <v>46</v>
      </c>
    </row>
    <row r="2" ht="84" spans="1:6">
      <c r="A2" s="3" t="s">
        <v>86</v>
      </c>
      <c r="B2" s="4" t="s">
        <v>87</v>
      </c>
      <c r="C2" s="4" t="s">
        <v>88</v>
      </c>
      <c r="D2" s="4" t="s">
        <v>89</v>
      </c>
      <c r="E2" s="4" t="s">
        <v>90</v>
      </c>
      <c r="F2" s="4" t="s">
        <v>91</v>
      </c>
    </row>
  </sheetData>
  <hyperlinks>
    <hyperlink ref="F2" r:id="rId1" display="试用期：薪资结构=底薪+加班费&#10;转正后：薪资结构=底薪+季度绩效KPI+绩效提成&#10;半精品销售助理绩效KPI考核方案&#10;备注：绩效提点由原销售根据情况给助理销售设置产品维护提点20%～30%，原销售提点为80%～90%，总比例不超过110%" tooltip="https://doc.weixin.qq.com/sheet/e3_AMgA5QbxADYCNT7FbuUjATVONyUC2?scode=AGgAIQe6AA4Kgla7N1AMgA5QbxADY&amp;tab=BB08J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合作销售KPI</vt:lpstr>
      <vt:lpstr>半精品销售组员，组长，主管</vt:lpstr>
      <vt:lpstr>助理</vt:lpstr>
      <vt:lpstr>助理内容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yanglei</dc:creator>
  <cp:lastModifiedBy>亭</cp:lastModifiedBy>
  <dcterms:created xsi:type="dcterms:W3CDTF">2025-04-11T01:34:00Z</dcterms:created>
  <dcterms:modified xsi:type="dcterms:W3CDTF">2025-11-10T09:55:31Z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D073E90896BD470CB76BDC1259AB8B11_13</vt:lpwstr>
  </property>
  <property fmtid="{D5CDD505-2E9C-101B-9397-08002B2CF9AE}" pid="3" name="KSOProductBuildVer">
    <vt:lpwstr>2052-12.1.0.23542</vt:lpwstr>
  </property>
</Properties>
</file>