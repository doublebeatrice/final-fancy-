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fbf6771e4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气整理" sheetId="1" r:id="Rda3a5d5595404e14"/>
    <x:sheet xmlns:r="http://schemas.openxmlformats.org/officeDocument/2006/relationships" name="来源与修正说明" sheetId="2" r:id="R3c0ece32862e4004"/>
    <x:sheet xmlns:r="http://schemas.openxmlformats.org/officeDocument/2006/relationships" name="排查节奏说明" sheetId="3" r:id="R8702830ae22d4f40"/>
    <x:sheet xmlns:r="http://schemas.openxmlformats.org/officeDocument/2006/relationships" name="今日提醒" sheetId="4" r:id="R52465168957b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0"/>
      <x:name val="Carlito"/>
    </x:font>
    <x:font>
      <x:b/>
      <x:sz val="13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7"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E2F0D9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1be965c784077" /><Relationship Type="http://schemas.openxmlformats.org/officeDocument/2006/relationships/theme" Target="/xl/theme/theme1.xml" Id="R5dac3fdad70d4374" /><Relationship Type="http://schemas.openxmlformats.org/officeDocument/2006/relationships/sharedStrings" Target="/xl/sharedStrings.xml" Id="R0b9f7f40f50b474c" /><Relationship Type="http://schemas.openxmlformats.org/officeDocument/2006/relationships/worksheet" Target="/xl/worksheets/sheet1.xml" Id="Rda3a5d5595404e14" /><Relationship Type="http://schemas.openxmlformats.org/officeDocument/2006/relationships/worksheet" Target="/xl/worksheets/sheet2.xml" Id="R3c0ece32862e4004" /><Relationship Type="http://schemas.openxmlformats.org/officeDocument/2006/relationships/worksheet" Target="/xl/worksheets/sheet3.xml" Id="R8702830ae22d4f40" /><Relationship Type="http://schemas.openxmlformats.org/officeDocument/2006/relationships/worksheet" Target="/xl/worksheets/sheet4.xml" Id="R52465168957b4c1a" /></Relationships>
</file>

<file path=xl/tables/table1.xml><?xml version="1.0" encoding="utf-8"?>
<x:table xmlns:x="http://schemas.openxmlformats.org/spreadsheetml/2006/main" id="3" name="HolidayCalendarTable" displayName="HolidayCalendarTable" ref="A1:T130" headerRowCount="1">
  <x:tableColumns count="20">
    <x:tableColumn id="1" name="节气名"/>
    <x:tableColumn id="2" name="中文翻译"/>
    <x:tableColumn id="3" name="一句话简介"/>
    <x:tableColumn id="4" name="时间（2026）"/>
    <x:tableColumn id="5" name="日期属性/备注"/>
    <x:tableColumn id="6" name="对应产品方向"/>
    <x:tableColumn id="7" name="一次排查时间点（2026）"/>
    <x:tableColumn id="8" name="二次排查时间点（2026）"/>
    <x:tableColumn id="9" name="高频跟进时间点（2026）"/>
    <x:tableColumn id="10" name="今日状态（自动）"/>
    <x:tableColumn id="11" name="今天动作提示（自动）"/>
    <x:tableColumn id="12" name="节点开始"/>
    <x:tableColumn id="13" name="节点结束"/>
    <x:tableColumn id="14" name="一次开始"/>
    <x:tableColumn id="15" name="一次结束"/>
    <x:tableColumn id="16" name="二次开始"/>
    <x:tableColumn id="17" name="二次结束"/>
    <x:tableColumn id="18" name="高频开始"/>
    <x:tableColumn id="19" name="高频结束"/>
    <x:tableColumn id="20" name="距节点开始天数"/>
  </x:tableColumns>
  <x:tableStyleInfo name="TableStyleMedium2" showRowStripes="1"/>
</x:table>
</file>

<file path=xl/tables/table2.xml><?xml version="1.0" encoding="utf-8"?>
<x:table xmlns:x="http://schemas.openxmlformats.org/spreadsheetml/2006/main" id="2" name="SourceNotesTable" displayName="SourceNotesTable" ref="A1:B50" headerRowCount="1">
  <x:tableColumns count="2">
    <x:tableColumn id="1" name="说明"/>
    <x:tableColumn id="2" name="来源/URL"/>
  </x:tableColumns>
  <x:tableStyleInfo name="TableStyleMedium2" showRowStripes="1"/>
</x:table>
</file>

<file path=xl/tables/table3.xml><?xml version="1.0" encoding="utf-8"?>
<x:table xmlns:x="http://schemas.openxmlformats.org/spreadsheetml/2006/main" id="4" name="TodayReminderTable" displayName="TodayReminderTable" ref="A3:G26" headerRowCount="1">
  <x:tableColumns count="7">
    <x:tableColumn id="1" name="节气名"/>
    <x:tableColumn id="2" name="中文翻译"/>
    <x:tableColumn id="3" name="今日状态"/>
    <x:tableColumn id="4" name="时间（2026）"/>
    <x:tableColumn id="5" name="对应产品方向"/>
    <x:tableColumn id="6" name="今天动作提示"/>
    <x:tableColumn id="7" name="高频跟进时间点（2026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06969c1d9840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0cd702ebc445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2c49360504d4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24" hidden="0" customWidth="1"/>
    <x:col min="5" max="5" width="26" hidden="0" customWidth="1"/>
    <x:col min="6" max="6" width="38" hidden="0" customWidth="1"/>
    <x:col min="7" max="7" width="46" hidden="0" customWidth="1"/>
    <x:col min="8" max="8" width="46" hidden="0" customWidth="1"/>
    <x:col min="9" max="9" width="48" hidden="0" customWidth="1"/>
    <x:col min="10" max="10" width="16" hidden="0" customWidth="1"/>
    <x:col min="11" max="11" width="46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2" hidden="0" customWidth="1"/>
  </x:cols>
  <x:sheetData>
    <x:row r="1" ht="28" hidden="0" customHeight="1">
      <x:c r="A1" s="38" t="str">
        <x:v>节气名</x:v>
      </x:c>
      <x:c r="B1" s="38" t="str">
        <x:v>中文翻译</x:v>
      </x:c>
      <x:c r="C1" s="38" t="str">
        <x:v>一句话简介</x:v>
      </x:c>
      <x:c r="D1" s="38" t="str">
        <x:v>时间（2026）</x:v>
      </x:c>
      <x:c r="E1" s="38" t="str">
        <x:v>日期属性/备注</x:v>
      </x:c>
      <x:c r="F1" s="38" t="str">
        <x:v>对应产品方向</x:v>
      </x:c>
      <x:c r="G1" s="38" t="str">
        <x:v>一次排查时间点（2026）</x:v>
      </x:c>
      <x:c r="H1" s="38" t="str">
        <x:v>二次排查时间点（2026）</x:v>
      </x:c>
      <x:c r="I1" s="38" t="str">
        <x:v>高频跟进时间点（2026）</x:v>
      </x:c>
      <x:c r="J1" s="38" t="str">
        <x:v>今日状态（自动）</x:v>
      </x:c>
      <x:c r="K1" s="38" t="str">
        <x:v>今天动作提示（自动）</x:v>
      </x:c>
      <x:c r="L1" s="38" t="str">
        <x:v>节点开始</x:v>
      </x:c>
      <x:c r="M1" s="38" t="str">
        <x:v>节点结束</x:v>
      </x:c>
      <x:c r="N1" s="38" t="str">
        <x:v>一次开始</x:v>
      </x:c>
      <x:c r="O1" s="38" t="str">
        <x:v>一次结束</x:v>
      </x:c>
      <x:c r="P1" s="38" t="str">
        <x:v>二次开始</x:v>
      </x:c>
      <x:c r="Q1" s="38" t="str">
        <x:v>二次结束</x:v>
      </x:c>
      <x:c r="R1" s="38" t="str">
        <x:v>高频开始</x:v>
      </x:c>
      <x:c r="S1" s="38" t="str">
        <x:v>高频结束</x:v>
      </x:c>
      <x:c r="T1" s="38" t="str">
        <x:v>距节点开始天数</x:v>
      </x:c>
    </x:row>
    <x:row r="2" ht="42" hidden="0" customHeight="1">
      <x:c r="A2" s="41" t="str">
        <x:v>Chinese New Year</x:v>
      </x:c>
      <x:c r="B2" s="41" t="str">
        <x:v>中国农历新年/春节</x:v>
      </x:c>
      <x:c r="C2" s="41" t="str">
        <x:v>华人及东亚文化的重要新年节点，适合家居装饰、礼品、红包、龙/生肖等主题。</x:v>
      </x:c>
      <x:c r="D2" s="41" t="str">
        <x:v>2026-02-17</x:v>
      </x:c>
      <x:c r="E2" s="41" t="str">
        <x:v>每年变动</x:v>
      </x:c>
      <x:c r="F2" s="41" t="str">
        <x:v>红包袋、生肖/新年挂饰、家居装饰、祝福卡、礼品袋</x:v>
      </x:c>
      <x:c r="G2" s="41" t="str">
        <x:v>2025-10-20 ~ 2025-11-19：先看历史销量、库存/FBA承接、是否需要改Listing。</x:v>
      </x:c>
      <x:c r="H2" s="41" t="str">
        <x:v>2025-12-19 ~ 2026-01-03：广告结构、关键词/ASIN、标题主图必须基本到位。</x:v>
      </x:c>
      <x:c r="I2" s="41" t="str">
        <x:v>2026-01-27 ~ 2026-02-20：头部SKU每日看，过后及时降投/清尾。</x:v>
      </x:c>
      <x:c r="J2" s="41" t="str">
        <x:f>IF(AND(TODAY()&gt;=$L2,TODAY()&lt;=$M2),"节点进行中",IF(AND(TODAY()&gt;=$R2,TODAY()&lt;=$S2),"高频跟进",IF(AND(TODAY()&gt;=$P2,TODAY()&lt;=$Q2),"二次排查",IF(AND(TODAY()&gt;=$N2,TODAY()&lt;=$O2),"一次排查",IF(TODAY()&lt;$N2,"未到排查",IF(TODAY()&lt;$L2,"等待下一窗口","已过"))))))</x:f>
        <x:v>已过</x:v>
      </x:c>
      <x:c r="K2" s="41" t="str">
        <x:f>IF($J2="节点进行中","今天正在节点/销售窗口内：看销量、库存承接、广告花费、转化和是否需要控投/清尾。",IF($J2="高频跟进","今天在高频跟进窗口：头部SKU每日看；重点看高库存、高花费、断货风险和ACOS。",IF($J2="二次排查","今天在二次排查窗口：补广告结构、关键词/ASIN、预算和Listing埋词。",IF($J2="一次排查","今天在一次排查窗口：先筛SKU，看历史动销、库存、利润和Listing匹配。",IF($J2="未到排查","暂不处理，等一次排查窗口。",IF($J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" s="42" t="n">
        <x:v>46070</x:v>
      </x:c>
      <x:c r="M2" s="42" t="n">
        <x:v>46070</x:v>
      </x:c>
      <x:c r="N2" s="42" t="n">
        <x:v>45950</x:v>
      </x:c>
      <x:c r="O2" s="42" t="n">
        <x:v>45980</x:v>
      </x:c>
      <x:c r="P2" s="42" t="n">
        <x:v>46010</x:v>
      </x:c>
      <x:c r="Q2" s="42" t="n">
        <x:v>46025</x:v>
      </x:c>
      <x:c r="R2" s="42" t="n">
        <x:v>46049</x:v>
      </x:c>
      <x:c r="S2" s="42" t="n">
        <x:v>46073</x:v>
      </x:c>
      <x:c r="T2" s="43" t="n">
        <x:f>$L2-TODAY()</x:f>
        <x:v>-79</x:v>
      </x:c>
    </x:row>
    <x:row r="3" ht="42" hidden="0" customHeight="1">
      <x:c r="A3" s="41" t="str">
        <x:v>College Back-to-School Season</x:v>
      </x:c>
      <x:c r="B3" s="41" t="str">
        <x:v>高校春季开学季</x:v>
      </x:c>
      <x:c r="C3" s="41" t="str">
        <x:v>大学/宿舍/学习用品需求回升的窗口，适合收纳、文具、宿舍装饰等。</x:v>
      </x:c>
      <x:c r="D3" s="41" t="str">
        <x:v>2026-01-15 ~ 2026-02-15</x:v>
      </x:c>
      <x:c r="E3" s="41" t="str">
        <x:v>区间变动：按学校校历，取常用销售窗口</x:v>
      </x:c>
      <x:c r="F3" s="41" t="str">
        <x:v>文具、书签、收纳、宿舍装饰、老师/学生礼、课堂用品</x:v>
      </x:c>
      <x:c r="G3" s="41" t="str">
        <x:v>2025-10-17 ~ 2025-10-31：看历史动销起点、库存承接、Listing是否匹配。</x:v>
      </x:c>
      <x:c r="H3" s="41" t="str">
        <x:v>2025-12-01 ~ 2025-12-15：完成关键词/ASIN/主图标题检查，低预算轻测。</x:v>
      </x:c>
      <x:c r="I3" s="41" t="str">
        <x:v>2026-01-01 ~ 2026-01-30：头部SKU每日看，普通SKU每周2次。</x:v>
      </x:c>
      <x:c r="J3" s="41" t="str">
        <x:f>IF(AND(TODAY()&gt;=$L3,TODAY()&lt;=$M3),"节点进行中",IF(AND(TODAY()&gt;=$R3,TODAY()&lt;=$S3),"高频跟进",IF(AND(TODAY()&gt;=$P3,TODAY()&lt;=$Q3),"二次排查",IF(AND(TODAY()&gt;=$N3,TODAY()&lt;=$O3),"一次排查",IF(TODAY()&lt;$N3,"未到排查",IF(TODAY()&lt;$L3,"等待下一窗口","已过"))))))</x:f>
        <x:v>已过</x:v>
      </x:c>
      <x:c r="K3" s="41" t="str">
        <x:f>IF($J3="节点进行中","今天正在节点/销售窗口内：看销量、库存承接、广告花费、转化和是否需要控投/清尾。",IF($J3="高频跟进","今天在高频跟进窗口：头部SKU每日看；重点看高库存、高花费、断货风险和ACOS。",IF($J3="二次排查","今天在二次排查窗口：补广告结构、关键词/ASIN、预算和Listing埋词。",IF($J3="一次排查","今天在一次排查窗口：先筛SKU，看历史动销、库存、利润和Listing匹配。",IF($J3="未到排查","暂不处理，等一次排查窗口。",IF($J3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" s="42" t="n">
        <x:v>46037</x:v>
      </x:c>
      <x:c r="M3" s="42" t="n">
        <x:v>46068</x:v>
      </x:c>
      <x:c r="N3" s="42" t="n">
        <x:v>45947</x:v>
      </x:c>
      <x:c r="O3" s="42" t="n">
        <x:v>45961</x:v>
      </x:c>
      <x:c r="P3" s="42" t="n">
        <x:v>45992</x:v>
      </x:c>
      <x:c r="Q3" s="42" t="n">
        <x:v>46006</x:v>
      </x:c>
      <x:c r="R3" s="42" t="n">
        <x:v>46023</x:v>
      </x:c>
      <x:c r="S3" s="42" t="n">
        <x:v>46052</x:v>
      </x:c>
      <x:c r="T3" s="43" t="n">
        <x:f>$L3-TODAY()</x:f>
        <x:v>-112</x:v>
      </x:c>
    </x:row>
    <x:row r="4" ht="42" hidden="0" customHeight="1">
      <x:c r="A4" s="41" t="str">
        <x:v>Martin Luther King Jr. Day</x:v>
      </x:c>
      <x:c r="B4" s="41" t="str">
        <x:v>马丁·路德·金纪念日</x:v>
      </x:c>
      <x:c r="C4" s="41" t="str">
        <x:v>美国联邦假日，纪念民权运动领袖马丁·路德·金，适合平权、公益、教育类主题谨慎借势。</x:v>
      </x:c>
      <x:c r="D4" s="41" t="str">
        <x:v>2026-01-19</x:v>
      </x:c>
      <x:c r="E4" s="41" t="str">
        <x:v>每年变动</x:v>
      </x:c>
      <x:c r="F4" s="41" t="str">
        <x:v>平权/教育主题卡片、课堂材料、公益主题小礼；商业化要克制</x:v>
      </x:c>
      <x:c r="G4" s="41" t="str">
        <x:v>2025-10-21 ~ 2025-11-05：先确认产品真实匹配，避免硬蹭敏感议题。</x:v>
      </x:c>
      <x:c r="H4" s="41" t="str">
        <x:v>2025-12-05 ~ 2025-12-15：检查图片/文案/关键词是否克制且合规。</x:v>
      </x:c>
      <x:c r="I4" s="41" t="str">
        <x:v>2026-01-05 ~ 2026-01-19：每2-3天看；表现差或表达风险高就停。</x:v>
      </x:c>
      <x:c r="J4" s="41" t="str">
        <x:f>IF(AND(TODAY()&gt;=$L4,TODAY()&lt;=$M4),"节点进行中",IF(AND(TODAY()&gt;=$R4,TODAY()&lt;=$S4),"高频跟进",IF(AND(TODAY()&gt;=$P4,TODAY()&lt;=$Q4),"二次排查",IF(AND(TODAY()&gt;=$N4,TODAY()&lt;=$O4),"一次排查",IF(TODAY()&lt;$N4,"未到排查",IF(TODAY()&lt;$L4,"等待下一窗口","已过"))))))</x:f>
        <x:v>已过</x:v>
      </x:c>
      <x:c r="K4" s="41" t="str">
        <x:f>IF($J4="节点进行中","今天正在节点/销售窗口内：看销量、库存承接、广告花费、转化和是否需要控投/清尾。",IF($J4="高频跟进","今天在高频跟进窗口：头部SKU每日看；重点看高库存、高花费、断货风险和ACOS。",IF($J4="二次排查","今天在二次排查窗口：补广告结构、关键词/ASIN、预算和Listing埋词。",IF($J4="一次排查","今天在一次排查窗口：先筛SKU，看历史动销、库存、利润和Listing匹配。",IF($J4="未到排查","暂不处理，等一次排查窗口。",IF($J4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" s="42" t="n">
        <x:v>46041</x:v>
      </x:c>
      <x:c r="M4" s="42" t="n">
        <x:v>46041</x:v>
      </x:c>
      <x:c r="N4" s="42" t="n">
        <x:v>45951</x:v>
      </x:c>
      <x:c r="O4" s="42" t="n">
        <x:v>45966</x:v>
      </x:c>
      <x:c r="P4" s="42" t="n">
        <x:v>45996</x:v>
      </x:c>
      <x:c r="Q4" s="42" t="n">
        <x:v>46006</x:v>
      </x:c>
      <x:c r="R4" s="42" t="n">
        <x:v>46027</x:v>
      </x:c>
      <x:c r="S4" s="42" t="n">
        <x:v>46041</x:v>
      </x:c>
      <x:c r="T4" s="43" t="n">
        <x:f>$L4-TODAY()</x:f>
        <x:v>-108</x:v>
      </x:c>
    </x:row>
    <x:row r="5" ht="42" hidden="0" customHeight="1">
      <x:c r="A5" s="41" t="str">
        <x:v>Black History Month</x:v>
      </x:c>
      <x:c r="B5" s="41" t="str">
        <x:v>黑人历史月</x:v>
      </x:c>
      <x:c r="C5" s="41" t="str">
        <x:v>纪念和学习非裔美国人的历史、贡献与文化，适合教育、文化、平权主题内容，商业化表达要克制。</x:v>
      </x:c>
      <x:c r="D5" s="41" t="str">
        <x:v>2026-02-01 ~ 2026-02-28</x:v>
      </x:c>
      <x:c r="E5" s="41" t="str">
        <x:v>固定月份</x:v>
      </x:c>
      <x:c r="F5" s="41" t="str">
        <x:v>意识/支持类产品：丝带、手链、鼓励卡、贴纸；敏感节点商业化要克制</x:v>
      </x:c>
      <x:c r="G5" s="41" t="str">
        <x:v>2025-11-03 ~ 2025-11-18：先确认产品真实匹配，避免硬蹭敏感议题。</x:v>
      </x:c>
      <x:c r="H5" s="41" t="str">
        <x:v>2025-12-18 ~ 2025-12-28：检查图片/文案/关键词是否克制且合规。</x:v>
      </x:c>
      <x:c r="I5" s="41" t="str">
        <x:v>2026-01-18 ~ 2026-02-14：每2-3天看；表现差或表达风险高就停。</x:v>
      </x:c>
      <x:c r="J5" s="41" t="str">
        <x:f>IF(AND(TODAY()&gt;=$L5,TODAY()&lt;=$M5),"节点进行中",IF(AND(TODAY()&gt;=$R5,TODAY()&lt;=$S5),"高频跟进",IF(AND(TODAY()&gt;=$P5,TODAY()&lt;=$Q5),"二次排查",IF(AND(TODAY()&gt;=$N5,TODAY()&lt;=$O5),"一次排查",IF(TODAY()&lt;$N5,"未到排查",IF(TODAY()&lt;$L5,"等待下一窗口","已过"))))))</x:f>
        <x:v>已过</x:v>
      </x:c>
      <x:c r="K5" s="41" t="str">
        <x:f>IF($J5="节点进行中","今天正在节点/销售窗口内：看销量、库存承接、广告花费、转化和是否需要控投/清尾。",IF($J5="高频跟进","今天在高频跟进窗口：头部SKU每日看；重点看高库存、高花费、断货风险和ACOS。",IF($J5="二次排查","今天在二次排查窗口：补广告结构、关键词/ASIN、预算和Listing埋词。",IF($J5="一次排查","今天在一次排查窗口：先筛SKU，看历史动销、库存、利润和Listing匹配。",IF($J5="未到排查","暂不处理，等一次排查窗口。",IF($J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5" s="42" t="n">
        <x:v>46054</x:v>
      </x:c>
      <x:c r="M5" s="42" t="n">
        <x:v>46081</x:v>
      </x:c>
      <x:c r="N5" s="42" t="n">
        <x:v>45964</x:v>
      </x:c>
      <x:c r="O5" s="42" t="n">
        <x:v>45979</x:v>
      </x:c>
      <x:c r="P5" s="42" t="n">
        <x:v>46009</x:v>
      </x:c>
      <x:c r="Q5" s="42" t="n">
        <x:v>46019</x:v>
      </x:c>
      <x:c r="R5" s="42" t="n">
        <x:v>46040</x:v>
      </x:c>
      <x:c r="S5" s="42" t="n">
        <x:v>46067</x:v>
      </x:c>
      <x:c r="T5" s="43" t="n">
        <x:f>$L5-TODAY()</x:f>
        <x:v>-95</x:v>
      </x:c>
    </x:row>
    <x:row r="6" ht="42" hidden="0" customHeight="1">
      <x:c r="A6" s="41" t="str">
        <x:v>Super Bowl</x:v>
      </x:c>
      <x:c r="B6" s="41" t="str">
        <x:v>超级碗</x:v>
      </x:c>
      <x:c r="C6" s="41" t="str">
        <x:v>美国橄榄球年度决赛，带动派对、球队元素、杯具、装饰和零食场景用品。</x:v>
      </x:c>
      <x:c r="D6" s="41" t="str">
        <x:v>2026-02-08</x:v>
      </x:c>
      <x:c r="E6" s="41" t="str">
        <x:v>每年变动</x:v>
      </x:c>
      <x:c r="F6" s="41" t="str">
        <x:v>派对装饰、杯具、观赛小物、球队色系配件、sports gifts</x:v>
      </x:c>
      <x:c r="G6" s="41" t="str">
        <x:v>2025-10-11 ~ 2025-11-10：先看历史销量、库存/FBA承接、是否需要改Listing。</x:v>
      </x:c>
      <x:c r="H6" s="41" t="str">
        <x:v>2025-12-10 ~ 2025-12-25：广告结构、关键词/ASIN、标题主图必须基本到位。</x:v>
      </x:c>
      <x:c r="I6" s="41" t="str">
        <x:v>2026-01-18 ~ 2026-02-11：头部SKU每日看，过后及时降投/清尾。</x:v>
      </x:c>
      <x:c r="J6" s="41" t="str">
        <x:f>IF(AND(TODAY()&gt;=$L6,TODAY()&lt;=$M6),"节点进行中",IF(AND(TODAY()&gt;=$R6,TODAY()&lt;=$S6),"高频跟进",IF(AND(TODAY()&gt;=$P6,TODAY()&lt;=$Q6),"二次排查",IF(AND(TODAY()&gt;=$N6,TODAY()&lt;=$O6),"一次排查",IF(TODAY()&lt;$N6,"未到排查",IF(TODAY()&lt;$L6,"等待下一窗口","已过"))))))</x:f>
        <x:v>已过</x:v>
      </x:c>
      <x:c r="K6" s="41" t="str">
        <x:f>IF($J6="节点进行中","今天正在节点/销售窗口内：看销量、库存承接、广告花费、转化和是否需要控投/清尾。",IF($J6="高频跟进","今天在高频跟进窗口：头部SKU每日看；重点看高库存、高花费、断货风险和ACOS。",IF($J6="二次排查","今天在二次排查窗口：补广告结构、关键词/ASIN、预算和Listing埋词。",IF($J6="一次排查","今天在一次排查窗口：先筛SKU，看历史动销、库存、利润和Listing匹配。",IF($J6="未到排查","暂不处理，等一次排查窗口。",IF($J6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6" s="42" t="n">
        <x:v>46061</x:v>
      </x:c>
      <x:c r="M6" s="42" t="n">
        <x:v>46061</x:v>
      </x:c>
      <x:c r="N6" s="42" t="n">
        <x:v>45941</x:v>
      </x:c>
      <x:c r="O6" s="42" t="n">
        <x:v>45971</x:v>
      </x:c>
      <x:c r="P6" s="42" t="n">
        <x:v>46001</x:v>
      </x:c>
      <x:c r="Q6" s="42" t="n">
        <x:v>46016</x:v>
      </x:c>
      <x:c r="R6" s="42" t="n">
        <x:v>46040</x:v>
      </x:c>
      <x:c r="S6" s="42" t="n">
        <x:v>46064</x:v>
      </x:c>
      <x:c r="T6" s="43" t="n">
        <x:f>$L6-TODAY()</x:f>
        <x:v>-88</x:v>
      </x:c>
    </x:row>
    <x:row r="7" ht="42" hidden="0" customHeight="1">
      <x:c r="A7" s="41" t="str">
        <x:v>National School Counseling Week</x:v>
      </x:c>
      <x:c r="B7" s="41" t="str">
        <x:v>全国学校辅导员周</x:v>
      </x:c>
      <x:c r="C7" s="41" t="str">
        <x:v>表彰学校辅导员，适合school counselor相关感谢礼和办公室小礼品。</x:v>
      </x:c>
      <x:c r="D7" s="41" t="str">
        <x:v>2026-02-02 ~ 2026-02-06</x:v>
      </x:c>
      <x:c r="E7" s="41" t="str">
        <x:v>每年变动</x:v>
      </x:c>
      <x:c r="F7" s="41" t="str">
        <x:v>school counselor gifts、counselor感谢卡、办公室桌面小礼</x:v>
      </x:c>
      <x:c r="G7" s="41" t="str">
        <x:v>2025-11-19 ~ 2025-12-04：按职业词筛SKU，核库存、历史动销和礼品适配。</x:v>
      </x:c>
      <x:c r="H7" s="41" t="str">
        <x:v>2025-12-24 ~ 2026-01-03：建/补广告组，补关键词/ASIN，处理低效流量。</x:v>
      </x:c>
      <x:c r="I7" s="41" t="str">
        <x:v>2026-01-19 ~ 2026-02-06：高库存/高花费SKU每日看，其余2-3天看。</x:v>
      </x:c>
      <x:c r="J7" s="41" t="str">
        <x:f>IF(AND(TODAY()&gt;=$L7,TODAY()&lt;=$M7),"节点进行中",IF(AND(TODAY()&gt;=$R7,TODAY()&lt;=$S7),"高频跟进",IF(AND(TODAY()&gt;=$P7,TODAY()&lt;=$Q7),"二次排查",IF(AND(TODAY()&gt;=$N7,TODAY()&lt;=$O7),"一次排查",IF(TODAY()&lt;$N7,"未到排查",IF(TODAY()&lt;$L7,"等待下一窗口","已过"))))))</x:f>
        <x:v>已过</x:v>
      </x:c>
      <x:c r="K7" s="41" t="str">
        <x:f>IF($J7="节点进行中","今天正在节点/销售窗口内：看销量、库存承接、广告花费、转化和是否需要控投/清尾。",IF($J7="高频跟进","今天在高频跟进窗口：头部SKU每日看；重点看高库存、高花费、断货风险和ACOS。",IF($J7="二次排查","今天在二次排查窗口：补广告结构、关键词/ASIN、预算和Listing埋词。",IF($J7="一次排查","今天在一次排查窗口：先筛SKU，看历史动销、库存、利润和Listing匹配。",IF($J7="未到排查","暂不处理，等一次排查窗口。",IF($J7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7" s="42" t="n">
        <x:v>46055</x:v>
      </x:c>
      <x:c r="M7" s="42" t="n">
        <x:v>46059</x:v>
      </x:c>
      <x:c r="N7" s="42" t="n">
        <x:v>45980</x:v>
      </x:c>
      <x:c r="O7" s="42" t="n">
        <x:v>45995</x:v>
      </x:c>
      <x:c r="P7" s="42" t="n">
        <x:v>46015</x:v>
      </x:c>
      <x:c r="Q7" s="42" t="n">
        <x:v>46025</x:v>
      </x:c>
      <x:c r="R7" s="42" t="n">
        <x:v>46041</x:v>
      </x:c>
      <x:c r="S7" s="42" t="n">
        <x:v>46059</x:v>
      </x:c>
      <x:c r="T7" s="43" t="n">
        <x:f>$L7-TODAY()</x:f>
        <x:v>-94</x:v>
      </x:c>
    </x:row>
    <x:row r="8" ht="42" hidden="0" customHeight="1">
      <x:c r="A8" s="41" t="str">
        <x:v>Galentine's Day</x:v>
      </x:c>
      <x:c r="B8" s="41" t="str">
        <x:v>闺蜜情人节</x:v>
      </x:c>
      <x:c r="C8" s="41" t="str">
        <x:v>女性朋友之间表达感谢和友谊的节点，适合闺蜜礼物、小饰品、卡片。</x:v>
      </x:c>
      <x:c r="D8" s="41" t="str">
        <x:v>2026-02-13</x:v>
      </x:c>
      <x:c r="E8" s="41" t="str">
        <x:v>固定日期</x:v>
      </x:c>
      <x:c r="F8" s="41" t="str">
        <x:v>情侣/闺蜜礼、爱心卡、bracelet、pocket hug、小饰品</x:v>
      </x:c>
      <x:c r="G8" s="41" t="str">
        <x:v>2025-12-15 ~ 2025-12-30：先筛匹配SKU、历史销量、库存和利润空间。</x:v>
      </x:c>
      <x:c r="H8" s="41" t="str">
        <x:v>2026-01-14 ~ 2026-01-23：补关键词/ASIN、Listing埋词和广告预算。</x:v>
      </x:c>
      <x:c r="I8" s="41" t="str">
        <x:v>2026-01-30 ~ 2026-02-15：重点SKU每日看，普通SKU每2-3天看。</x:v>
      </x:c>
      <x:c r="J8" s="41" t="str">
        <x:f>IF(AND(TODAY()&gt;=$L8,TODAY()&lt;=$M8),"节点进行中",IF(AND(TODAY()&gt;=$R8,TODAY()&lt;=$S8),"高频跟进",IF(AND(TODAY()&gt;=$P8,TODAY()&lt;=$Q8),"二次排查",IF(AND(TODAY()&gt;=$N8,TODAY()&lt;=$O8),"一次排查",IF(TODAY()&lt;$N8,"未到排查",IF(TODAY()&lt;$L8,"等待下一窗口","已过"))))))</x:f>
        <x:v>已过</x:v>
      </x:c>
      <x:c r="K8" s="41" t="str">
        <x:f>IF($J8="节点进行中","今天正在节点/销售窗口内：看销量、库存承接、广告花费、转化和是否需要控投/清尾。",IF($J8="高频跟进","今天在高频跟进窗口：头部SKU每日看；重点看高库存、高花费、断货风险和ACOS。",IF($J8="二次排查","今天在二次排查窗口：补广告结构、关键词/ASIN、预算和Listing埋词。",IF($J8="一次排查","今天在一次排查窗口：先筛SKU，看历史动销、库存、利润和Listing匹配。",IF($J8="未到排查","暂不处理，等一次排查窗口。",IF($J8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8" s="42" t="n">
        <x:v>46066</x:v>
      </x:c>
      <x:c r="M8" s="42" t="n">
        <x:v>46066</x:v>
      </x:c>
      <x:c r="N8" s="42" t="n">
        <x:v>46006</x:v>
      </x:c>
      <x:c r="O8" s="42" t="n">
        <x:v>46021</x:v>
      </x:c>
      <x:c r="P8" s="42" t="n">
        <x:v>46036</x:v>
      </x:c>
      <x:c r="Q8" s="42" t="n">
        <x:v>46045</x:v>
      </x:c>
      <x:c r="R8" s="42" t="n">
        <x:v>46052</x:v>
      </x:c>
      <x:c r="S8" s="42" t="n">
        <x:v>46068</x:v>
      </x:c>
      <x:c r="T8" s="43" t="n">
        <x:f>$L8-TODAY()</x:f>
        <x:v>-83</x:v>
      </x:c>
    </x:row>
    <x:row r="9" ht="42" hidden="0" customHeight="1">
      <x:c r="A9" s="41" t="str">
        <x:v>Valentine's Day</x:v>
      </x:c>
      <x:c r="B9" s="41" t="str">
        <x:v>情人节</x:v>
      </x:c>
      <x:c r="C9" s="41" t="str">
        <x:v>爱情与亲密关系礼品大节点，适合情侣礼、鲜花、卡片、首饰、装饰。</x:v>
      </x:c>
      <x:c r="D9" s="41" t="str">
        <x:v>2026-02-14</x:v>
      </x:c>
      <x:c r="E9" s="41" t="str">
        <x:v>固定日期</x:v>
      </x:c>
      <x:c r="F9" s="41" t="str">
        <x:v>情侣/闺蜜礼、爱心卡、bracelet、pocket hug、小饰品</x:v>
      </x:c>
      <x:c r="G9" s="41" t="str">
        <x:v>2025-10-17 ~ 2025-11-16：先看历史销量、库存/FBA承接、是否需要改Listing。</x:v>
      </x:c>
      <x:c r="H9" s="41" t="str">
        <x:v>2025-12-16 ~ 2025-12-31：广告结构、关键词/ASIN、标题主图必须基本到位。</x:v>
      </x:c>
      <x:c r="I9" s="41" t="str">
        <x:v>2026-01-24 ~ 2026-02-17：头部SKU每日看，过后及时降投/清尾。</x:v>
      </x:c>
      <x:c r="J9" s="41" t="str">
        <x:f>IF(AND(TODAY()&gt;=$L9,TODAY()&lt;=$M9),"节点进行中",IF(AND(TODAY()&gt;=$R9,TODAY()&lt;=$S9),"高频跟进",IF(AND(TODAY()&gt;=$P9,TODAY()&lt;=$Q9),"二次排查",IF(AND(TODAY()&gt;=$N9,TODAY()&lt;=$O9),"一次排查",IF(TODAY()&lt;$N9,"未到排查",IF(TODAY()&lt;$L9,"等待下一窗口","已过"))))))</x:f>
        <x:v>已过</x:v>
      </x:c>
      <x:c r="K9" s="41" t="str">
        <x:f>IF($J9="节点进行中","今天正在节点/销售窗口内：看销量、库存承接、广告花费、转化和是否需要控投/清尾。",IF($J9="高频跟进","今天在高频跟进窗口：头部SKU每日看；重点看高库存、高花费、断货风险和ACOS。",IF($J9="二次排查","今天在二次排查窗口：补广告结构、关键词/ASIN、预算和Listing埋词。",IF($J9="一次排查","今天在一次排查窗口：先筛SKU，看历史动销、库存、利润和Listing匹配。",IF($J9="未到排查","暂不处理，等一次排查窗口。",IF($J9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9" s="42" t="n">
        <x:v>46067</x:v>
      </x:c>
      <x:c r="M9" s="42" t="n">
        <x:v>46067</x:v>
      </x:c>
      <x:c r="N9" s="42" t="n">
        <x:v>45947</x:v>
      </x:c>
      <x:c r="O9" s="42" t="n">
        <x:v>45977</x:v>
      </x:c>
      <x:c r="P9" s="42" t="n">
        <x:v>46007</x:v>
      </x:c>
      <x:c r="Q9" s="42" t="n">
        <x:v>46022</x:v>
      </x:c>
      <x:c r="R9" s="42" t="n">
        <x:v>46046</x:v>
      </x:c>
      <x:c r="S9" s="42" t="n">
        <x:v>46070</x:v>
      </x:c>
      <x:c r="T9" s="43" t="n">
        <x:f>$L9-TODAY()</x:f>
        <x:v>-82</x:v>
      </x:c>
    </x:row>
    <x:row r="10" ht="42" hidden="0" customHeight="1">
      <x:c r="A10" s="41" t="str">
        <x:v>Mardi Gras / Carnival</x:v>
      </x:c>
      <x:c r="B10" s="41" t="str">
        <x:v>狂欢节/忏悔星期二</x:v>
      </x:c>
      <x:c r="C10" s="41" t="str">
        <x:v>复活节前的狂欢节点，适合彩色派对装饰、面具、珠链和节庆用品。</x:v>
      </x:c>
      <x:c r="D10" s="41" t="str">
        <x:v>2026-02-17</x:v>
      </x:c>
      <x:c r="E10" s="41" t="str">
        <x:v>每年变动</x:v>
      </x:c>
      <x:c r="F10" s="41" t="str">
        <x:v>Mardi Gras party favors、面具、珠链、紫绿金装饰、carnival小礼品</x:v>
      </x:c>
      <x:c r="G10" s="41" t="str">
        <x:v>2025-10-20 ~ 2025-11-19：先看历史销量、库存/FBA承接、是否需要改Listing。</x:v>
      </x:c>
      <x:c r="H10" s="41" t="str">
        <x:v>2025-12-19 ~ 2026-01-03：广告结构、关键词/ASIN、标题主图必须基本到位。</x:v>
      </x:c>
      <x:c r="I10" s="41" t="str">
        <x:v>2026-01-27 ~ 2026-02-20：头部SKU每日看，过后及时降投/清尾。</x:v>
      </x:c>
      <x:c r="J10" s="41" t="str">
        <x:f>IF(AND(TODAY()&gt;=$L10,TODAY()&lt;=$M10),"节点进行中",IF(AND(TODAY()&gt;=$R10,TODAY()&lt;=$S10),"高频跟进",IF(AND(TODAY()&gt;=$P10,TODAY()&lt;=$Q10),"二次排查",IF(AND(TODAY()&gt;=$N10,TODAY()&lt;=$O10),"一次排查",IF(TODAY()&lt;$N10,"未到排查",IF(TODAY()&lt;$L10,"等待下一窗口","已过"))))))</x:f>
        <x:v>已过</x:v>
      </x:c>
      <x:c r="K10" s="41" t="str">
        <x:f>IF($J10="节点进行中","今天正在节点/销售窗口内：看销量、库存承接、广告花费、转化和是否需要控投/清尾。",IF($J10="高频跟进","今天在高频跟进窗口：头部SKU每日看；重点看高库存、高花费、断货风险和ACOS。",IF($J10="二次排查","今天在二次排查窗口：补广告结构、关键词/ASIN、预算和Listing埋词。",IF($J10="一次排查","今天在一次排查窗口：先筛SKU，看历史动销、库存、利润和Listing匹配。",IF($J10="未到排查","暂不处理，等一次排查窗口。",IF($J10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0" s="42" t="n">
        <x:v>46070</x:v>
      </x:c>
      <x:c r="M10" s="42" t="n">
        <x:v>46070</x:v>
      </x:c>
      <x:c r="N10" s="42" t="n">
        <x:v>45950</x:v>
      </x:c>
      <x:c r="O10" s="42" t="n">
        <x:v>45980</x:v>
      </x:c>
      <x:c r="P10" s="42" t="n">
        <x:v>46010</x:v>
      </x:c>
      <x:c r="Q10" s="42" t="n">
        <x:v>46025</x:v>
      </x:c>
      <x:c r="R10" s="42" t="n">
        <x:v>46049</x:v>
      </x:c>
      <x:c r="S10" s="42" t="n">
        <x:v>46073</x:v>
      </x:c>
      <x:c r="T10" s="43" t="n">
        <x:f>$L10-TODAY()</x:f>
        <x:v>-79</x:v>
      </x:c>
    </x:row>
    <x:row r="11" ht="42" hidden="0" customHeight="1">
      <x:c r="A11" s="41" t="str">
        <x:v>100th Day of School</x:v>
      </x:c>
      <x:c r="B11" s="41" t="str">
        <x:v>开学第100天</x:v>
      </x:c>
      <x:c r="C11" s="41" t="str">
        <x:v>美国小学常见纪念日，适合百日主题、课堂活动、贴纸和老师用品。</x:v>
      </x:c>
      <x:c r="D11" s="41" t="str">
        <x:v>2026-01-20 ~ 2026-02-28</x:v>
      </x:c>
      <x:c r="E11" s="41" t="str">
        <x:v>每年变动：按各校开学日，取常用窗口</x:v>
      </x:c>
      <x:c r="F11" s="41" t="str">
        <x:v>100 days of school课堂用品、贴纸、证书、老师小礼物</x:v>
      </x:c>
      <x:c r="G11" s="41" t="str">
        <x:v>2025-11-21 ~ 2025-12-06：先筛匹配SKU、历史销量、库存和利润空间。</x:v>
      </x:c>
      <x:c r="H11" s="41" t="str">
        <x:v>2025-12-21 ~ 2025-12-30：补关键词/ASIN、Listing埋词和广告预算。</x:v>
      </x:c>
      <x:c r="I11" s="41" t="str">
        <x:v>2026-01-06 ~ 2026-03-02：重点SKU每日看，普通SKU每2-3天看。</x:v>
      </x:c>
      <x:c r="J11" s="41" t="str">
        <x:f>IF(AND(TODAY()&gt;=$L11,TODAY()&lt;=$M11),"节点进行中",IF(AND(TODAY()&gt;=$R11,TODAY()&lt;=$S11),"高频跟进",IF(AND(TODAY()&gt;=$P11,TODAY()&lt;=$Q11),"二次排查",IF(AND(TODAY()&gt;=$N11,TODAY()&lt;=$O11),"一次排查",IF(TODAY()&lt;$N11,"未到排查",IF(TODAY()&lt;$L11,"等待下一窗口","已过"))))))</x:f>
        <x:v>已过</x:v>
      </x:c>
      <x:c r="K11" s="41" t="str">
        <x:f>IF($J11="节点进行中","今天正在节点/销售窗口内：看销量、库存承接、广告花费、转化和是否需要控投/清尾。",IF($J11="高频跟进","今天在高频跟进窗口：头部SKU每日看；重点看高库存、高花费、断货风险和ACOS。",IF($J11="二次排查","今天在二次排查窗口：补广告结构、关键词/ASIN、预算和Listing埋词。",IF($J11="一次排查","今天在一次排查窗口：先筛SKU，看历史动销、库存、利润和Listing匹配。",IF($J11="未到排查","暂不处理，等一次排查窗口。",IF($J11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1" s="42" t="n">
        <x:v>46042</x:v>
      </x:c>
      <x:c r="M11" s="42" t="n">
        <x:v>46081</x:v>
      </x:c>
      <x:c r="N11" s="42" t="n">
        <x:v>45982</x:v>
      </x:c>
      <x:c r="O11" s="42" t="n">
        <x:v>45997</x:v>
      </x:c>
      <x:c r="P11" s="42" t="n">
        <x:v>46012</x:v>
      </x:c>
      <x:c r="Q11" s="42" t="n">
        <x:v>46021</x:v>
      </x:c>
      <x:c r="R11" s="42" t="n">
        <x:v>46028</x:v>
      </x:c>
      <x:c r="S11" s="42" t="n">
        <x:v>46083</x:v>
      </x:c>
      <x:c r="T11" s="43" t="n">
        <x:f>$L11-TODAY()</x:f>
        <x:v>-107</x:v>
      </x:c>
    </x:row>
    <x:row r="12" ht="42" hidden="0" customHeight="1">
      <x:c r="A12" s="41" t="str">
        <x:v>Valentine Week</x:v>
      </x:c>
      <x:c r="B12" s="41" t="str">
        <x:v>情人节周</x:v>
      </x:c>
      <x:c r="C12" s="41" t="str">
        <x:v>情人节前一周的连续礼赠窗口，适合小礼物、卡片和情侣装饰。</x:v>
      </x:c>
      <x:c r="D12" s="41" t="str">
        <x:v>2026-02-07 ~ 2026-02-14</x:v>
      </x:c>
      <x:c r="E12" s="41" t="str">
        <x:v>固定区间</x:v>
      </x:c>
      <x:c r="F12" s="41" t="str">
        <x:v>情侣/闺蜜礼、爱心卡、bracelet、pocket hug、小饰品</x:v>
      </x:c>
      <x:c r="G12" s="41" t="str">
        <x:v>2025-10-10 ~ 2025-11-09：先看历史销量、库存/FBA承接、是否需要改Listing。</x:v>
      </x:c>
      <x:c r="H12" s="41" t="str">
        <x:v>2025-12-09 ~ 2025-12-24：广告结构、关键词/ASIN、标题主图必须基本到位。</x:v>
      </x:c>
      <x:c r="I12" s="41" t="str">
        <x:v>2026-01-17 ~ 2026-02-17：头部SKU每日看，过后及时降投/清尾。</x:v>
      </x:c>
      <x:c r="J12" s="41" t="str">
        <x:f>IF(AND(TODAY()&gt;=$L12,TODAY()&lt;=$M12),"节点进行中",IF(AND(TODAY()&gt;=$R12,TODAY()&lt;=$S12),"高频跟进",IF(AND(TODAY()&gt;=$P12,TODAY()&lt;=$Q12),"二次排查",IF(AND(TODAY()&gt;=$N12,TODAY()&lt;=$O12),"一次排查",IF(TODAY()&lt;$N12,"未到排查",IF(TODAY()&lt;$L12,"等待下一窗口","已过"))))))</x:f>
        <x:v>已过</x:v>
      </x:c>
      <x:c r="K12" s="41" t="str">
        <x:f>IF($J12="节点进行中","今天正在节点/销售窗口内：看销量、库存承接、广告花费、转化和是否需要控投/清尾。",IF($J12="高频跟进","今天在高频跟进窗口：头部SKU每日看；重点看高库存、高花费、断货风险和ACOS。",IF($J12="二次排查","今天在二次排查窗口：补广告结构、关键词/ASIN、预算和Listing埋词。",IF($J12="一次排查","今天在一次排查窗口：先筛SKU，看历史动销、库存、利润和Listing匹配。",IF($J12="未到排查","暂不处理，等一次排查窗口。",IF($J12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2" s="42" t="n">
        <x:v>46060</x:v>
      </x:c>
      <x:c r="M12" s="42" t="n">
        <x:v>46067</x:v>
      </x:c>
      <x:c r="N12" s="42" t="n">
        <x:v>45940</x:v>
      </x:c>
      <x:c r="O12" s="42" t="n">
        <x:v>45970</x:v>
      </x:c>
      <x:c r="P12" s="42" t="n">
        <x:v>46000</x:v>
      </x:c>
      <x:c r="Q12" s="42" t="n">
        <x:v>46015</x:v>
      </x:c>
      <x:c r="R12" s="42" t="n">
        <x:v>46039</x:v>
      </x:c>
      <x:c r="S12" s="42" t="n">
        <x:v>46070</x:v>
      </x:c>
      <x:c r="T12" s="43" t="n">
        <x:f>$L12-TODAY()</x:f>
        <x:v>-89</x:v>
      </x:c>
    </x:row>
    <x:row r="13" ht="42" hidden="0" customHeight="1">
      <x:c r="A13" s="41" t="str">
        <x:v>Random Acts of Kindness Day / Week</x:v>
      </x:c>
      <x:c r="B13" s="41" t="str">
        <x:v>随机善意日/善意周</x:v>
      </x:c>
      <x:c r="C13" s="41" t="str">
        <x:v>鼓励日常善意行动，适合kindness、encouragement、pocket hug、affirmation cards等暖心礼品。</x:v>
      </x:c>
      <x:c r="D13" s="41" t="str">
        <x:v>2026-02-15 ~ 2026-02-21</x:v>
      </x:c>
      <x:c r="E13" s="41" t="str">
        <x:v>日期固定+周区间变动</x:v>
      </x:c>
      <x:c r="F13" s="41" t="str">
        <x:v>kindness gifts、pocket hug、affirmation cards、鼓励手链</x:v>
      </x:c>
      <x:c r="G13" s="41" t="str">
        <x:v>2025-12-02 ~ 2025-12-17：按职业词筛SKU，核库存、历史动销和礼品适配。</x:v>
      </x:c>
      <x:c r="H13" s="41" t="str">
        <x:v>2026-01-06 ~ 2026-01-16：建/补广告组，补关键词/ASIN，处理低效流量。</x:v>
      </x:c>
      <x:c r="I13" s="41" t="str">
        <x:v>2026-02-01 ~ 2026-02-21：高库存/高花费SKU每日看，其余2-3天看。</x:v>
      </x:c>
      <x:c r="J13" s="41" t="str">
        <x:f>IF(AND(TODAY()&gt;=$L13,TODAY()&lt;=$M13),"节点进行中",IF(AND(TODAY()&gt;=$R13,TODAY()&lt;=$S13),"高频跟进",IF(AND(TODAY()&gt;=$P13,TODAY()&lt;=$Q13),"二次排查",IF(AND(TODAY()&gt;=$N13,TODAY()&lt;=$O13),"一次排查",IF(TODAY()&lt;$N13,"未到排查",IF(TODAY()&lt;$L13,"等待下一窗口","已过"))))))</x:f>
        <x:v>已过</x:v>
      </x:c>
      <x:c r="K13" s="41" t="str">
        <x:f>IF($J13="节点进行中","今天正在节点/销售窗口内：看销量、库存承接、广告花费、转化和是否需要控投/清尾。",IF($J13="高频跟进","今天在高频跟进窗口：头部SKU每日看；重点看高库存、高花费、断货风险和ACOS。",IF($J13="二次排查","今天在二次排查窗口：补广告结构、关键词/ASIN、预算和Listing埋词。",IF($J13="一次排查","今天在一次排查窗口：先筛SKU，看历史动销、库存、利润和Listing匹配。",IF($J13="未到排查","暂不处理，等一次排查窗口。",IF($J13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3" s="42" t="n">
        <x:v>46068</x:v>
      </x:c>
      <x:c r="M13" s="42" t="n">
        <x:v>46074</x:v>
      </x:c>
      <x:c r="N13" s="42" t="n">
        <x:v>45993</x:v>
      </x:c>
      <x:c r="O13" s="42" t="n">
        <x:v>46008</x:v>
      </x:c>
      <x:c r="P13" s="42" t="n">
        <x:v>46028</x:v>
      </x:c>
      <x:c r="Q13" s="42" t="n">
        <x:v>46038</x:v>
      </x:c>
      <x:c r="R13" s="42" t="n">
        <x:v>46054</x:v>
      </x:c>
      <x:c r="S13" s="42" t="n">
        <x:v>46074</x:v>
      </x:c>
      <x:c r="T13" s="43" t="n">
        <x:f>$L13-TODAY()</x:f>
        <x:v>-81</x:v>
      </x:c>
    </x:row>
    <x:row r="14" ht="42" hidden="0" customHeight="1">
      <x:c r="A14" s="41" t="str">
        <x:v>Presidents’ Day / Washington’s Birthday</x:v>
      </x:c>
      <x:c r="B14" s="41" t="str">
        <x:v>总统日/华盛顿诞辰纪念日</x:v>
      </x:c>
      <x:c r="C14" s="41" t="str">
        <x:v>美国联邦假日与零售促销节点，适合家居、办公、服饰等大促节奏规划。</x:v>
      </x:c>
      <x:c r="D14" s="41" t="str">
        <x:v>2026-02-16</x:v>
      </x:c>
      <x:c r="E14" s="41" t="str">
        <x:v>每年变动</x:v>
      </x:c>
      <x:c r="F14" s="41" t="str">
        <x:v>全品类促销节点：重点看库存、价格、广告预算、清货/放量款</x:v>
      </x:c>
      <x:c r="G14" s="41" t="str">
        <x:v>2025-12-18 ~ 2026-01-02：盘库存、价格、毛利、滞销/可放量SKU。</x:v>
      </x:c>
      <x:c r="H14" s="41" t="str">
        <x:v>2026-01-26 ~ 2026-02-02：定折扣、预算上限、主推/清货名单。</x:v>
      </x:c>
      <x:c r="I14" s="41" t="str">
        <x:v>2026-02-09 ~ 2026-02-18：每日看利润、广告占比、断货和清货效果。</x:v>
      </x:c>
      <x:c r="J14" s="41" t="str">
        <x:f>IF(AND(TODAY()&gt;=$L14,TODAY()&lt;=$M14),"节点进行中",IF(AND(TODAY()&gt;=$R14,TODAY()&lt;=$S14),"高频跟进",IF(AND(TODAY()&gt;=$P14,TODAY()&lt;=$Q14),"二次排查",IF(AND(TODAY()&gt;=$N14,TODAY()&lt;=$O14),"一次排查",IF(TODAY()&lt;$N14,"未到排查",IF(TODAY()&lt;$L14,"等待下一窗口","已过"))))))</x:f>
        <x:v>已过</x:v>
      </x:c>
      <x:c r="K14" s="41" t="str">
        <x:f>IF($J14="节点进行中","今天正在节点/销售窗口内：看销量、库存承接、广告花费、转化和是否需要控投/清尾。",IF($J14="高频跟进","今天在高频跟进窗口：头部SKU每日看；重点看高库存、高花费、断货风险和ACOS。",IF($J14="二次排查","今天在二次排查窗口：补广告结构、关键词/ASIN、预算和Listing埋词。",IF($J14="一次排查","今天在一次排查窗口：先筛SKU，看历史动销、库存、利润和Listing匹配。",IF($J14="未到排查","暂不处理，等一次排查窗口。",IF($J14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4" s="42" t="n">
        <x:v>46069</x:v>
      </x:c>
      <x:c r="M14" s="42" t="n">
        <x:v>46069</x:v>
      </x:c>
      <x:c r="N14" s="42" t="n">
        <x:v>46009</x:v>
      </x:c>
      <x:c r="O14" s="42" t="n">
        <x:v>46024</x:v>
      </x:c>
      <x:c r="P14" s="42" t="n">
        <x:v>46048</x:v>
      </x:c>
      <x:c r="Q14" s="42" t="n">
        <x:v>46055</x:v>
      </x:c>
      <x:c r="R14" s="42" t="n">
        <x:v>46062</x:v>
      </x:c>
      <x:c r="S14" s="42" t="n">
        <x:v>46071</x:v>
      </x:c>
      <x:c r="T14" s="43" t="n">
        <x:f>$L14-TODAY()</x:f>
        <x:v>-80</x:v>
      </x:c>
    </x:row>
    <x:row r="15" ht="42" hidden="0" customHeight="1">
      <x:c r="A15" s="41" t="str">
        <x:v>Read Across America Day / Week</x:v>
      </x:c>
      <x:c r="B15" s="41" t="str">
        <x:v>全美阅读日/阅读周</x:v>
      </x:c>
      <x:c r="C15" s="41" t="str">
        <x:v>由NEA推动的阅读激励节点，适合书签、阅读卡、图书馆、老师和课堂礼品。</x:v>
      </x:c>
      <x:c r="D15" s="41" t="str">
        <x:v>2026-03-02 ~ 2026-03-06</x:v>
      </x:c>
      <x:c r="E15" s="41" t="str">
        <x:v>每年变动</x:v>
      </x:c>
      <x:c r="F15" s="41" t="str">
        <x:v>书签、reading cards、librarian gifts、teacher classroom礼品</x:v>
      </x:c>
      <x:c r="G15" s="41" t="str">
        <x:v>2025-12-17 ~ 2026-01-01：按职业词筛SKU，核库存、历史动销和礼品适配。</x:v>
      </x:c>
      <x:c r="H15" s="41" t="str">
        <x:v>2026-01-21 ~ 2026-01-31：建/补广告组，补关键词/ASIN，处理低效流量。</x:v>
      </x:c>
      <x:c r="I15" s="41" t="str">
        <x:v>2026-02-16 ~ 2026-03-06：高库存/高花费SKU每日看，其余2-3天看。</x:v>
      </x:c>
      <x:c r="J15" s="41" t="str">
        <x:f>IF(AND(TODAY()&gt;=$L15,TODAY()&lt;=$M15),"节点进行中",IF(AND(TODAY()&gt;=$R15,TODAY()&lt;=$S15),"高频跟进",IF(AND(TODAY()&gt;=$P15,TODAY()&lt;=$Q15),"二次排查",IF(AND(TODAY()&gt;=$N15,TODAY()&lt;=$O15),"一次排查",IF(TODAY()&lt;$N15,"未到排查",IF(TODAY()&lt;$L15,"等待下一窗口","已过"))))))</x:f>
        <x:v>已过</x:v>
      </x:c>
      <x:c r="K15" s="41" t="str">
        <x:f>IF($J15="节点进行中","今天正在节点/销售窗口内：看销量、库存承接、广告花费、转化和是否需要控投/清尾。",IF($J15="高频跟进","今天在高频跟进窗口：头部SKU每日看；重点看高库存、高花费、断货风险和ACOS。",IF($J15="二次排查","今天在二次排查窗口：补广告结构、关键词/ASIN、预算和Listing埋词。",IF($J15="一次排查","今天在一次排查窗口：先筛SKU，看历史动销、库存、利润和Listing匹配。",IF($J15="未到排查","暂不处理，等一次排查窗口。",IF($J15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5" s="42" t="n">
        <x:v>46083</x:v>
      </x:c>
      <x:c r="M15" s="42" t="n">
        <x:v>46087</x:v>
      </x:c>
      <x:c r="N15" s="42" t="n">
        <x:v>46008</x:v>
      </x:c>
      <x:c r="O15" s="42" t="n">
        <x:v>46023</x:v>
      </x:c>
      <x:c r="P15" s="42" t="n">
        <x:v>46043</x:v>
      </x:c>
      <x:c r="Q15" s="42" t="n">
        <x:v>46053</x:v>
      </x:c>
      <x:c r="R15" s="42" t="n">
        <x:v>46069</x:v>
      </x:c>
      <x:c r="S15" s="42" t="n">
        <x:v>46087</x:v>
      </x:c>
      <x:c r="T15" s="43" t="n">
        <x:f>$L15-TODAY()</x:f>
        <x:v>-66</x:v>
      </x:c>
    </x:row>
    <x:row r="16" ht="42" hidden="0" customHeight="1">
      <x:c r="A16" s="41" t="str">
        <x:v>School Social Work Week</x:v>
      </x:c>
      <x:c r="B16" s="41" t="str">
        <x:v>学校社工周</x:v>
      </x:c>
      <x:c r="C16" s="41" t="str">
        <x:v>表彰学校社工对学生心理、家庭和校园支持的贡献。</x:v>
      </x:c>
      <x:c r="D16" s="41" t="str">
        <x:v>2026-03-01 ~ 2026-03-07</x:v>
      </x:c>
      <x:c r="E16" s="41" t="str">
        <x:v>每年变动</x:v>
      </x:c>
      <x:c r="F16" s="41" t="str">
        <x:v>social worker gifts、school social worker感谢礼、pocket hug/卡片</x:v>
      </x:c>
      <x:c r="G16" s="41" t="str">
        <x:v>2025-12-16 ~ 2025-12-31：按职业词筛SKU，核库存、历史动销和礼品适配。</x:v>
      </x:c>
      <x:c r="H16" s="41" t="str">
        <x:v>2026-01-20 ~ 2026-01-30：建/补广告组，补关键词/ASIN，处理低效流量。</x:v>
      </x:c>
      <x:c r="I16" s="41" t="str">
        <x:v>2026-02-15 ~ 2026-03-07：高库存/高花费SKU每日看，其余2-3天看。</x:v>
      </x:c>
      <x:c r="J16" s="41" t="str">
        <x:f>IF(AND(TODAY()&gt;=$L16,TODAY()&lt;=$M16),"节点进行中",IF(AND(TODAY()&gt;=$R16,TODAY()&lt;=$S16),"高频跟进",IF(AND(TODAY()&gt;=$P16,TODAY()&lt;=$Q16),"二次排查",IF(AND(TODAY()&gt;=$N16,TODAY()&lt;=$O16),"一次排查",IF(TODAY()&lt;$N16,"未到排查",IF(TODAY()&lt;$L16,"等待下一窗口","已过"))))))</x:f>
        <x:v>已过</x:v>
      </x:c>
      <x:c r="K16" s="41" t="str">
        <x:f>IF($J16="节点进行中","今天正在节点/销售窗口内：看销量、库存承接、广告花费、转化和是否需要控投/清尾。",IF($J16="高频跟进","今天在高频跟进窗口：头部SKU每日看；重点看高库存、高花费、断货风险和ACOS。",IF($J16="二次排查","今天在二次排查窗口：补广告结构、关键词/ASIN、预算和Listing埋词。",IF($J16="一次排查","今天在一次排查窗口：先筛SKU，看历史动销、库存、利润和Listing匹配。",IF($J16="未到排查","暂不处理，等一次排查窗口。",IF($J16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6" s="42" t="n">
        <x:v>46082</x:v>
      </x:c>
      <x:c r="M16" s="42" t="n">
        <x:v>46088</x:v>
      </x:c>
      <x:c r="N16" s="42" t="n">
        <x:v>46007</x:v>
      </x:c>
      <x:c r="O16" s="42" t="n">
        <x:v>46022</x:v>
      </x:c>
      <x:c r="P16" s="42" t="n">
        <x:v>46042</x:v>
      </x:c>
      <x:c r="Q16" s="42" t="n">
        <x:v>46052</x:v>
      </x:c>
      <x:c r="R16" s="42" t="n">
        <x:v>46068</x:v>
      </x:c>
      <x:c r="S16" s="42" t="n">
        <x:v>46088</x:v>
      </x:c>
      <x:c r="T16" s="43" t="n">
        <x:f>$L16-TODAY()</x:f>
        <x:v>-67</x:v>
      </x:c>
    </x:row>
    <x:row r="17" ht="42" hidden="0" customHeight="1">
      <x:c r="A17" s="41" t="str">
        <x:v>Dental Assistants Recognition Week</x:v>
      </x:c>
      <x:c r="B17" s="41" t="str">
        <x:v>牙科助理表彰周</x:v>
      </x:c>
      <x:c r="C17" s="41" t="str">
        <x:v>表彰牙科助理，适合牙科诊所团队感谢礼、杯子、徽章等。</x:v>
      </x:c>
      <x:c r="D17" s="41" t="str">
        <x:v>2026-03-01 ~ 2026-03-07</x:v>
      </x:c>
      <x:c r="E17" s="41" t="str">
        <x:v>每年变动</x:v>
      </x:c>
      <x:c r="F17" s="41" t="str">
        <x:v>dental assistant gifts、牙齿元素钥匙扣、诊所感谢礼</x:v>
      </x:c>
      <x:c r="G17" s="41" t="str">
        <x:v>2025-12-16 ~ 2025-12-31：按职业词筛SKU，核库存、历史动销和礼品适配。</x:v>
      </x:c>
      <x:c r="H17" s="41" t="str">
        <x:v>2026-01-20 ~ 2026-01-30：建/补广告组，补关键词/ASIN，处理低效流量。</x:v>
      </x:c>
      <x:c r="I17" s="41" t="str">
        <x:v>2026-02-15 ~ 2026-03-07：高库存/高花费SKU每日看，其余2-3天看。</x:v>
      </x:c>
      <x:c r="J17" s="41" t="str">
        <x:f>IF(AND(TODAY()&gt;=$L17,TODAY()&lt;=$M17),"节点进行中",IF(AND(TODAY()&gt;=$R17,TODAY()&lt;=$S17),"高频跟进",IF(AND(TODAY()&gt;=$P17,TODAY()&lt;=$Q17),"二次排查",IF(AND(TODAY()&gt;=$N17,TODAY()&lt;=$O17),"一次排查",IF(TODAY()&lt;$N17,"未到排查",IF(TODAY()&lt;$L17,"等待下一窗口","已过"))))))</x:f>
        <x:v>已过</x:v>
      </x:c>
      <x:c r="K17" s="41" t="str">
        <x:f>IF($J17="节点进行中","今天正在节点/销售窗口内：看销量、库存承接、广告花费、转化和是否需要控投/清尾。",IF($J17="高频跟进","今天在高频跟进窗口：头部SKU每日看；重点看高库存、高花费、断货风险和ACOS。",IF($J17="二次排查","今天在二次排查窗口：补广告结构、关键词/ASIN、预算和Listing埋词。",IF($J17="一次排查","今天在一次排查窗口：先筛SKU，看历史动销、库存、利润和Listing匹配。",IF($J17="未到排查","暂不处理，等一次排查窗口。",IF($J17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7" s="42" t="n">
        <x:v>46082</x:v>
      </x:c>
      <x:c r="M17" s="42" t="n">
        <x:v>46088</x:v>
      </x:c>
      <x:c r="N17" s="42" t="n">
        <x:v>46007</x:v>
      </x:c>
      <x:c r="O17" s="42" t="n">
        <x:v>46022</x:v>
      </x:c>
      <x:c r="P17" s="42" t="n">
        <x:v>46042</x:v>
      </x:c>
      <x:c r="Q17" s="42" t="n">
        <x:v>46052</x:v>
      </x:c>
      <x:c r="R17" s="42" t="n">
        <x:v>46068</x:v>
      </x:c>
      <x:c r="S17" s="42" t="n">
        <x:v>46088</x:v>
      </x:c>
      <x:c r="T17" s="43" t="n">
        <x:f>$L17-TODAY()</x:f>
        <x:v>-67</x:v>
      </x:c>
    </x:row>
    <x:row r="18" ht="42" hidden="0" customHeight="1">
      <x:c r="A18" s="41" t="str">
        <x:v>Caregiver Appreciation Day</x:v>
      </x:c>
      <x:c r="B18" s="41" t="str">
        <x:v>护理照护者感谢日</x:v>
      </x:c>
      <x:c r="C18" s="41" t="str">
        <x:v>面向看护者、护理员、家庭照护者的感谢节点，适合暖心小礼品。</x:v>
      </x:c>
      <x:c r="D18" s="41" t="str">
        <x:v>2026-03-03</x:v>
      </x:c>
      <x:c r="E18" s="41" t="str">
        <x:v>口径需复核：按截图口径</x:v>
      </x:c>
      <x:c r="F18" s="41" t="str">
        <x:v>caregiver gifts、护理关怀卡、pocket hug、感谢钥匙扣</x:v>
      </x:c>
      <x:c r="G18" s="41" t="str">
        <x:v>2026-01-02 ~ 2026-01-17：先筛匹配SKU、历史销量、库存和利润空间。</x:v>
      </x:c>
      <x:c r="H18" s="41" t="str">
        <x:v>2026-02-01 ~ 2026-02-10：补关键词/ASIN、Listing埋词和广告预算。</x:v>
      </x:c>
      <x:c r="I18" s="41" t="str">
        <x:v>2026-02-17 ~ 2026-03-05：重点SKU每日看，普通SKU每2-3天看。</x:v>
      </x:c>
      <x:c r="J18" s="41" t="str">
        <x:f>IF(AND(TODAY()&gt;=$L18,TODAY()&lt;=$M18),"节点进行中",IF(AND(TODAY()&gt;=$R18,TODAY()&lt;=$S18),"高频跟进",IF(AND(TODAY()&gt;=$P18,TODAY()&lt;=$Q18),"二次排查",IF(AND(TODAY()&gt;=$N18,TODAY()&lt;=$O18),"一次排查",IF(TODAY()&lt;$N18,"未到排查",IF(TODAY()&lt;$L18,"等待下一窗口","已过"))))))</x:f>
        <x:v>已过</x:v>
      </x:c>
      <x:c r="K18" s="41" t="str">
        <x:f>IF($J18="节点进行中","今天正在节点/销售窗口内：看销量、库存承接、广告花费、转化和是否需要控投/清尾。",IF($J18="高频跟进","今天在高频跟进窗口：头部SKU每日看；重点看高库存、高花费、断货风险和ACOS。",IF($J18="二次排查","今天在二次排查窗口：补广告结构、关键词/ASIN、预算和Listing埋词。",IF($J18="一次排查","今天在一次排查窗口：先筛SKU，看历史动销、库存、利润和Listing匹配。",IF($J18="未到排查","暂不处理，等一次排查窗口。",IF($J18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8" s="42" t="n">
        <x:v>46084</x:v>
      </x:c>
      <x:c r="M18" s="42" t="n">
        <x:v>46084</x:v>
      </x:c>
      <x:c r="N18" s="42" t="n">
        <x:v>46024</x:v>
      </x:c>
      <x:c r="O18" s="42" t="n">
        <x:v>46039</x:v>
      </x:c>
      <x:c r="P18" s="42" t="n">
        <x:v>46054</x:v>
      </x:c>
      <x:c r="Q18" s="42" t="n">
        <x:v>46063</x:v>
      </x:c>
      <x:c r="R18" s="42" t="n">
        <x:v>46070</x:v>
      </x:c>
      <x:c r="S18" s="42" t="n">
        <x:v>46086</x:v>
      </x:c>
      <x:c r="T18" s="43" t="n">
        <x:f>$L18-TODAY()</x:f>
        <x:v>-65</x:v>
      </x:c>
    </x:row>
    <x:row r="19" ht="42" hidden="0" customHeight="1">
      <x:c r="A19" s="41" t="str">
        <x:v>HR Professionals Week</x:v>
      </x:c>
      <x:c r="B19" s="41" t="str">
        <x:v>人力资源专业人员周</x:v>
      </x:c>
      <x:c r="C19" s="41" t="str">
        <x:v>用于感谢HR团队和办公室行政支持人员，适合职场感谢礼。</x:v>
      </x:c>
      <x:c r="D19" s="41" t="str">
        <x:v>2026-03-03 ~ 2026-03-09</x:v>
      </x:c>
      <x:c r="E19" s="41" t="str">
        <x:v>口径需复核：按截图口径</x:v>
      </x:c>
      <x:c r="F19" s="41" t="str">
        <x:v>office appreciation gifts、admin/HR/employee bulk gifts、感谢卡/杯子</x:v>
      </x:c>
      <x:c r="G19" s="41" t="str">
        <x:v>2025-12-18 ~ 2026-01-02：按职业词筛SKU，核库存、历史动销和礼品适配。</x:v>
      </x:c>
      <x:c r="H19" s="41" t="str">
        <x:v>2026-01-22 ~ 2026-02-01：建/补广告组，补关键词/ASIN，处理低效流量。</x:v>
      </x:c>
      <x:c r="I19" s="41" t="str">
        <x:v>2026-02-17 ~ 2026-03-09：高库存/高花费SKU每日看，其余2-3天看。</x:v>
      </x:c>
      <x:c r="J19" s="41" t="str">
        <x:f>IF(AND(TODAY()&gt;=$L19,TODAY()&lt;=$M19),"节点进行中",IF(AND(TODAY()&gt;=$R19,TODAY()&lt;=$S19),"高频跟进",IF(AND(TODAY()&gt;=$P19,TODAY()&lt;=$Q19),"二次排查",IF(AND(TODAY()&gt;=$N19,TODAY()&lt;=$O19),"一次排查",IF(TODAY()&lt;$N19,"未到排查",IF(TODAY()&lt;$L19,"等待下一窗口","已过"))))))</x:f>
        <x:v>已过</x:v>
      </x:c>
      <x:c r="K19" s="41" t="str">
        <x:f>IF($J19="节点进行中","今天正在节点/销售窗口内：看销量、库存承接、广告花费、转化和是否需要控投/清尾。",IF($J19="高频跟进","今天在高频跟进窗口：头部SKU每日看；重点看高库存、高花费、断货风险和ACOS。",IF($J19="二次排查","今天在二次排查窗口：补广告结构、关键词/ASIN、预算和Listing埋词。",IF($J19="一次排查","今天在一次排查窗口：先筛SKU，看历史动销、库存、利润和Listing匹配。",IF($J19="未到排查","暂不处理，等一次排查窗口。",IF($J19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19" s="42" t="n">
        <x:v>46084</x:v>
      </x:c>
      <x:c r="M19" s="42" t="n">
        <x:v>46090</x:v>
      </x:c>
      <x:c r="N19" s="42" t="n">
        <x:v>46009</x:v>
      </x:c>
      <x:c r="O19" s="42" t="n">
        <x:v>46024</x:v>
      </x:c>
      <x:c r="P19" s="42" t="n">
        <x:v>46044</x:v>
      </x:c>
      <x:c r="Q19" s="42" t="n">
        <x:v>46054</x:v>
      </x:c>
      <x:c r="R19" s="42" t="n">
        <x:v>46070</x:v>
      </x:c>
      <x:c r="S19" s="42" t="n">
        <x:v>46090</x:v>
      </x:c>
      <x:c r="T19" s="43" t="n">
        <x:f>$L19-TODAY()</x:f>
        <x:v>-65</x:v>
      </x:c>
    </x:row>
    <x:row r="20" ht="42" hidden="0" customHeight="1">
      <x:c r="A20" s="41" t="str">
        <x:v>Employee Appreciation Day</x:v>
      </x:c>
      <x:c r="B20" s="41" t="str">
        <x:v>员工感谢日</x:v>
      </x:c>
      <x:c r="C20" s="41" t="str">
        <x:v>企业感谢员工的职场节点，适合批量员工礼品、桌面小物、感谢卡。</x:v>
      </x:c>
      <x:c r="D20" s="41" t="str">
        <x:v>2026-03-06</x:v>
      </x:c>
      <x:c r="E20" s="41" t="str">
        <x:v>每年变动</x:v>
      </x:c>
      <x:c r="F20" s="41" t="str">
        <x:v>office appreciation gifts、admin/HR/employee bulk gifts、感谢卡/杯子</x:v>
      </x:c>
      <x:c r="G20" s="41" t="str">
        <x:v>2026-01-05 ~ 2026-01-20：先筛匹配SKU、历史销量、库存和利润空间。</x:v>
      </x:c>
      <x:c r="H20" s="41" t="str">
        <x:v>2026-02-04 ~ 2026-02-13：补关键词/ASIN、Listing埋词和广告预算。</x:v>
      </x:c>
      <x:c r="I20" s="41" t="str">
        <x:v>2026-02-20 ~ 2026-03-08：重点SKU每日看，普通SKU每2-3天看。</x:v>
      </x:c>
      <x:c r="J20" s="41" t="str">
        <x:f>IF(AND(TODAY()&gt;=$L20,TODAY()&lt;=$M20),"节点进行中",IF(AND(TODAY()&gt;=$R20,TODAY()&lt;=$S20),"高频跟进",IF(AND(TODAY()&gt;=$P20,TODAY()&lt;=$Q20),"二次排查",IF(AND(TODAY()&gt;=$N20,TODAY()&lt;=$O20),"一次排查",IF(TODAY()&lt;$N20,"未到排查",IF(TODAY()&lt;$L20,"等待下一窗口","已过"))))))</x:f>
        <x:v>已过</x:v>
      </x:c>
      <x:c r="K20" s="41" t="str">
        <x:f>IF($J20="节点进行中","今天正在节点/销售窗口内：看销量、库存承接、广告花费、转化和是否需要控投/清尾。",IF($J20="高频跟进","今天在高频跟进窗口：头部SKU每日看；重点看高库存、高花费、断货风险和ACOS。",IF($J20="二次排查","今天在二次排查窗口：补广告结构、关键词/ASIN、预算和Listing埋词。",IF($J20="一次排查","今天在一次排查窗口：先筛SKU，看历史动销、库存、利润和Listing匹配。",IF($J20="未到排查","暂不处理，等一次排查窗口。",IF($J20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0" s="42" t="n">
        <x:v>46087</x:v>
      </x:c>
      <x:c r="M20" s="42" t="n">
        <x:v>46087</x:v>
      </x:c>
      <x:c r="N20" s="42" t="n">
        <x:v>46027</x:v>
      </x:c>
      <x:c r="O20" s="42" t="n">
        <x:v>46042</x:v>
      </x:c>
      <x:c r="P20" s="42" t="n">
        <x:v>46057</x:v>
      </x:c>
      <x:c r="Q20" s="42" t="n">
        <x:v>46066</x:v>
      </x:c>
      <x:c r="R20" s="42" t="n">
        <x:v>46073</x:v>
      </x:c>
      <x:c r="S20" s="42" t="n">
        <x:v>46089</x:v>
      </x:c>
      <x:c r="T20" s="43" t="n">
        <x:f>$L20-TODAY()</x:f>
        <x:v>-62</x:v>
      </x:c>
    </x:row>
    <x:row r="21" ht="42" hidden="0" customHeight="1">
      <x:c r="A21" s="41" t="str">
        <x:v>International Women's Day</x:v>
      </x:c>
      <x:c r="B21" s="41" t="str">
        <x:v>国际妇女节</x:v>
      </x:c>
      <x:c r="C21" s="41" t="str">
        <x:v>面向女性权益与女性感谢礼的全球节点，适合女性礼物、团队福利。</x:v>
      </x:c>
      <x:c r="D21" s="41" t="str">
        <x:v>2026-03-08</x:v>
      </x:c>
      <x:c r="E21" s="41" t="str">
        <x:v>固定日期</x:v>
      </x:c>
      <x:c r="F21" s="41" t="str">
        <x:v>women gifts、empowerment cards、女性鼓励手链、鲜花/小礼品</x:v>
      </x:c>
      <x:c r="G21" s="41" t="str">
        <x:v>2026-01-07 ~ 2026-01-22：先筛匹配SKU、历史销量、库存和利润空间。</x:v>
      </x:c>
      <x:c r="H21" s="41" t="str">
        <x:v>2026-02-06 ~ 2026-02-15：补关键词/ASIN、Listing埋词和广告预算。</x:v>
      </x:c>
      <x:c r="I21" s="41" t="str">
        <x:v>2026-02-22 ~ 2026-03-10：重点SKU每日看，普通SKU每2-3天看。</x:v>
      </x:c>
      <x:c r="J21" s="41" t="str">
        <x:f>IF(AND(TODAY()&gt;=$L21,TODAY()&lt;=$M21),"节点进行中",IF(AND(TODAY()&gt;=$R21,TODAY()&lt;=$S21),"高频跟进",IF(AND(TODAY()&gt;=$P21,TODAY()&lt;=$Q21),"二次排查",IF(AND(TODAY()&gt;=$N21,TODAY()&lt;=$O21),"一次排查",IF(TODAY()&lt;$N21,"未到排查",IF(TODAY()&lt;$L21,"等待下一窗口","已过"))))))</x:f>
        <x:v>已过</x:v>
      </x:c>
      <x:c r="K21" s="41" t="str">
        <x:f>IF($J21="节点进行中","今天正在节点/销售窗口内：看销量、库存承接、广告花费、转化和是否需要控投/清尾。",IF($J21="高频跟进","今天在高频跟进窗口：头部SKU每日看；重点看高库存、高花费、断货风险和ACOS。",IF($J21="二次排查","今天在二次排查窗口：补广告结构、关键词/ASIN、预算和Listing埋词。",IF($J21="一次排查","今天在一次排查窗口：先筛SKU，看历史动销、库存、利润和Listing匹配。",IF($J21="未到排查","暂不处理，等一次排查窗口。",IF($J21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1" s="42" t="n">
        <x:v>46089</x:v>
      </x:c>
      <x:c r="M21" s="42" t="n">
        <x:v>46089</x:v>
      </x:c>
      <x:c r="N21" s="42" t="n">
        <x:v>46029</x:v>
      </x:c>
      <x:c r="O21" s="42" t="n">
        <x:v>46044</x:v>
      </x:c>
      <x:c r="P21" s="42" t="n">
        <x:v>46059</x:v>
      </x:c>
      <x:c r="Q21" s="42" t="n">
        <x:v>46068</x:v>
      </x:c>
      <x:c r="R21" s="42" t="n">
        <x:v>46075</x:v>
      </x:c>
      <x:c r="S21" s="42" t="n">
        <x:v>46091</x:v>
      </x:c>
      <x:c r="T21" s="43" t="n">
        <x:f>$L21-TODAY()</x:f>
        <x:v>-60</x:v>
      </x:c>
    </x:row>
    <x:row r="22" ht="42" hidden="0" customHeight="1">
      <x:c r="A22" s="41" t="str">
        <x:v>World Social Work Day</x:v>
      </x:c>
      <x:c r="B22" s="41" t="str">
        <x:v>世界社会工作日</x:v>
      </x:c>
      <x:c r="C22" s="41" t="str">
        <x:v>表彰社会工作者的国际节点，适合social worker感谢礼。</x:v>
      </x:c>
      <x:c r="D22" s="41" t="str">
        <x:v>2026-03-17</x:v>
      </x:c>
      <x:c r="E22" s="41" t="str">
        <x:v>每年变动</x:v>
      </x:c>
      <x:c r="F22" s="41" t="str">
        <x:v>social worker gifts、school social worker感谢礼、pocket hug/卡片</x:v>
      </x:c>
      <x:c r="G22" s="41" t="str">
        <x:v>2026-01-16 ~ 2026-01-31：先筛匹配SKU、历史销量、库存和利润空间。</x:v>
      </x:c>
      <x:c r="H22" s="41" t="str">
        <x:v>2026-02-15 ~ 2026-02-24：补关键词/ASIN、Listing埋词和广告预算。</x:v>
      </x:c>
      <x:c r="I22" s="41" t="str">
        <x:v>2026-03-03 ~ 2026-03-19：重点SKU每日看，普通SKU每2-3天看。</x:v>
      </x:c>
      <x:c r="J22" s="41" t="str">
        <x:f>IF(AND(TODAY()&gt;=$L22,TODAY()&lt;=$M22),"节点进行中",IF(AND(TODAY()&gt;=$R22,TODAY()&lt;=$S22),"高频跟进",IF(AND(TODAY()&gt;=$P22,TODAY()&lt;=$Q22),"二次排查",IF(AND(TODAY()&gt;=$N22,TODAY()&lt;=$O22),"一次排查",IF(TODAY()&lt;$N22,"未到排查",IF(TODAY()&lt;$L22,"等待下一窗口","已过"))))))</x:f>
        <x:v>已过</x:v>
      </x:c>
      <x:c r="K22" s="41" t="str">
        <x:f>IF($J22="节点进行中","今天正在节点/销售窗口内：看销量、库存承接、广告花费、转化和是否需要控投/清尾。",IF($J22="高频跟进","今天在高频跟进窗口：头部SKU每日看；重点看高库存、高花费、断货风险和ACOS。",IF($J22="二次排查","今天在二次排查窗口：补广告结构、关键词/ASIN、预算和Listing埋词。",IF($J22="一次排查","今天在一次排查窗口：先筛SKU，看历史动销、库存、利润和Listing匹配。",IF($J22="未到排查","暂不处理，等一次排查窗口。",IF($J22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2" s="42" t="n">
        <x:v>46098</x:v>
      </x:c>
      <x:c r="M22" s="42" t="n">
        <x:v>46098</x:v>
      </x:c>
      <x:c r="N22" s="42" t="n">
        <x:v>46038</x:v>
      </x:c>
      <x:c r="O22" s="42" t="n">
        <x:v>46053</x:v>
      </x:c>
      <x:c r="P22" s="42" t="n">
        <x:v>46068</x:v>
      </x:c>
      <x:c r="Q22" s="42" t="n">
        <x:v>46077</x:v>
      </x:c>
      <x:c r="R22" s="42" t="n">
        <x:v>46084</x:v>
      </x:c>
      <x:c r="S22" s="42" t="n">
        <x:v>46100</x:v>
      </x:c>
      <x:c r="T22" s="43" t="n">
        <x:f>$L22-TODAY()</x:f>
        <x:v>-51</x:v>
      </x:c>
    </x:row>
    <x:row r="23" ht="42" hidden="0" customHeight="1">
      <x:c r="A23" s="41" t="str">
        <x:v>St. Patrick's Day</x:v>
      </x:c>
      <x:c r="B23" s="41" t="str">
        <x:v>圣帕特里克节</x:v>
      </x:c>
      <x:c r="C23" s="41" t="str">
        <x:v>爱尔兰文化与绿色幸运主题节日，适合幸运、三叶草、派对、小礼品和装饰。</x:v>
      </x:c>
      <x:c r="D23" s="41" t="str">
        <x:v>2026-03-17</x:v>
      </x:c>
      <x:c r="E23" s="41" t="str">
        <x:v>固定日期</x:v>
      </x:c>
      <x:c r="F23" s="41" t="str">
        <x:v>shamrock三叶草、绿色幸运礼品、party favors、Irish主题装饰</x:v>
      </x:c>
      <x:c r="G23" s="41" t="str">
        <x:v>2025-11-17 ~ 2025-12-17：先看历史销量、库存/FBA承接、是否需要改Listing。</x:v>
      </x:c>
      <x:c r="H23" s="41" t="str">
        <x:v>2026-01-16 ~ 2026-01-31：广告结构、关键词/ASIN、标题主图必须基本到位。</x:v>
      </x:c>
      <x:c r="I23" s="41" t="str">
        <x:v>2026-02-24 ~ 2026-03-20：头部SKU每日看，过后及时降投/清尾。</x:v>
      </x:c>
      <x:c r="J23" s="41" t="str">
        <x:f>IF(AND(TODAY()&gt;=$L23,TODAY()&lt;=$M23),"节点进行中",IF(AND(TODAY()&gt;=$R23,TODAY()&lt;=$S23),"高频跟进",IF(AND(TODAY()&gt;=$P23,TODAY()&lt;=$Q23),"二次排查",IF(AND(TODAY()&gt;=$N23,TODAY()&lt;=$O23),"一次排查",IF(TODAY()&lt;$N23,"未到排查",IF(TODAY()&lt;$L23,"等待下一窗口","已过"))))))</x:f>
        <x:v>已过</x:v>
      </x:c>
      <x:c r="K23" s="41" t="str">
        <x:f>IF($J23="节点进行中","今天正在节点/销售窗口内：看销量、库存承接、广告花费、转化和是否需要控投/清尾。",IF($J23="高频跟进","今天在高频跟进窗口：头部SKU每日看；重点看高库存、高花费、断货风险和ACOS。",IF($J23="二次排查","今天在二次排查窗口：补广告结构、关键词/ASIN、预算和Listing埋词。",IF($J23="一次排查","今天在一次排查窗口：先筛SKU，看历史动销、库存、利润和Listing匹配。",IF($J23="未到排查","暂不处理，等一次排查窗口。",IF($J23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3" s="42" t="n">
        <x:v>46098</x:v>
      </x:c>
      <x:c r="M23" s="42" t="n">
        <x:v>46098</x:v>
      </x:c>
      <x:c r="N23" s="42" t="n">
        <x:v>45978</x:v>
      </x:c>
      <x:c r="O23" s="42" t="n">
        <x:v>46008</x:v>
      </x:c>
      <x:c r="P23" s="42" t="n">
        <x:v>46038</x:v>
      </x:c>
      <x:c r="Q23" s="42" t="n">
        <x:v>46053</x:v>
      </x:c>
      <x:c r="R23" s="42" t="n">
        <x:v>46077</x:v>
      </x:c>
      <x:c r="S23" s="42" t="n">
        <x:v>46101</x:v>
      </x:c>
      <x:c r="T23" s="43" t="n">
        <x:f>$L23-TODAY()</x:f>
        <x:v>-51</x:v>
      </x:c>
    </x:row>
    <x:row r="24" ht="42" hidden="0" customHeight="1">
      <x:c r="A24" s="41" t="str">
        <x:v>International Day of Mathematics / Pi Day</x:v>
      </x:c>
      <x:c r="B24" s="41" t="str">
        <x:v>国际数学日/圆周率日</x:v>
      </x:c>
      <x:c r="C24" s="41" t="str">
        <x:v>数学教育与STEM主题节点，适合教师、学生、课堂活动用品。</x:v>
      </x:c>
      <x:c r="D24" s="41" t="str">
        <x:v>2026-03-14</x:v>
      </x:c>
      <x:c r="E24" s="41" t="str">
        <x:v>固定日期</x:v>
      </x:c>
      <x:c r="F24" s="41" t="str">
        <x:v>math teacher gifts、STEM课堂用品、Pi主题贴纸/卡片</x:v>
      </x:c>
      <x:c r="G24" s="41" t="str">
        <x:v>2025-12-29 ~ 2026-01-13：按职业词筛SKU，核库存、历史动销和礼品适配。</x:v>
      </x:c>
      <x:c r="H24" s="41" t="str">
        <x:v>2026-02-02 ~ 2026-02-12：建/补广告组，补关键词/ASIN，处理低效流量。</x:v>
      </x:c>
      <x:c r="I24" s="41" t="str">
        <x:v>2026-02-28 ~ 2026-03-14：高库存/高花费SKU每日看，其余2-3天看。</x:v>
      </x:c>
      <x:c r="J24" s="41" t="str">
        <x:f>IF(AND(TODAY()&gt;=$L24,TODAY()&lt;=$M24),"节点进行中",IF(AND(TODAY()&gt;=$R24,TODAY()&lt;=$S24),"高频跟进",IF(AND(TODAY()&gt;=$P24,TODAY()&lt;=$Q24),"二次排查",IF(AND(TODAY()&gt;=$N24,TODAY()&lt;=$O24),"一次排查",IF(TODAY()&lt;$N24,"未到排查",IF(TODAY()&lt;$L24,"等待下一窗口","已过"))))))</x:f>
        <x:v>已过</x:v>
      </x:c>
      <x:c r="K24" s="41" t="str">
        <x:f>IF($J24="节点进行中","今天正在节点/销售窗口内：看销量、库存承接、广告花费、转化和是否需要控投/清尾。",IF($J24="高频跟进","今天在高频跟进窗口：头部SKU每日看；重点看高库存、高花费、断货风险和ACOS。",IF($J24="二次排查","今天在二次排查窗口：补广告结构、关键词/ASIN、预算和Listing埋词。",IF($J24="一次排查","今天在一次排查窗口：先筛SKU，看历史动销、库存、利润和Listing匹配。",IF($J24="未到排查","暂不处理，等一次排查窗口。",IF($J24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4" s="42" t="n">
        <x:v>46095</x:v>
      </x:c>
      <x:c r="M24" s="42" t="n">
        <x:v>46095</x:v>
      </x:c>
      <x:c r="N24" s="42" t="n">
        <x:v>46020</x:v>
      </x:c>
      <x:c r="O24" s="42" t="n">
        <x:v>46035</x:v>
      </x:c>
      <x:c r="P24" s="42" t="n">
        <x:v>46055</x:v>
      </x:c>
      <x:c r="Q24" s="42" t="n">
        <x:v>46065</x:v>
      </x:c>
      <x:c r="R24" s="42" t="n">
        <x:v>46081</x:v>
      </x:c>
      <x:c r="S24" s="42" t="n">
        <x:v>46095</x:v>
      </x:c>
      <x:c r="T24" s="43" t="n">
        <x:f>$L24-TODAY()</x:f>
        <x:v>-54</x:v>
      </x:c>
    </x:row>
    <x:row r="25" ht="42" hidden="0" customHeight="1">
      <x:c r="A25" s="41" t="str">
        <x:v>Patient Access Week</x:v>
      </x:c>
      <x:c r="B25" s="41" t="str">
        <x:v>患者准入/医疗前台服务周</x:v>
      </x:c>
      <x:c r="C25" s="41" t="str">
        <x:v>表彰预约、登记、保险与患者准入团队，适合医疗办公室感谢礼。</x:v>
      </x:c>
      <x:c r="D25" s="41" t="str">
        <x:v>2026-04-05 ~ 2026-04-11</x:v>
      </x:c>
      <x:c r="E25" s="41" t="str">
        <x:v>每年变动</x:v>
      </x:c>
      <x:c r="F25" s="41" t="str">
        <x:v>patient access gifts、medical front desk感谢礼、办公室小礼</x:v>
      </x:c>
      <x:c r="G25" s="41" t="str">
        <x:v>2026-01-20 ~ 2026-02-04：按职业词筛SKU，核库存、历史动销和礼品适配。</x:v>
      </x:c>
      <x:c r="H25" s="41" t="str">
        <x:v>2026-02-24 ~ 2026-03-06：建/补广告组，补关键词/ASIN，处理低效流量。</x:v>
      </x:c>
      <x:c r="I25" s="41" t="str">
        <x:v>2026-03-22 ~ 2026-04-11：高库存/高花费SKU每日看，其余2-3天看。</x:v>
      </x:c>
      <x:c r="J25" s="41" t="str">
        <x:f>IF(AND(TODAY()&gt;=$L25,TODAY()&lt;=$M25),"节点进行中",IF(AND(TODAY()&gt;=$R25,TODAY()&lt;=$S25),"高频跟进",IF(AND(TODAY()&gt;=$P25,TODAY()&lt;=$Q25),"二次排查",IF(AND(TODAY()&gt;=$N25,TODAY()&lt;=$O25),"一次排查",IF(TODAY()&lt;$N25,"未到排查",IF(TODAY()&lt;$L25,"等待下一窗口","已过"))))))</x:f>
        <x:v>已过</x:v>
      </x:c>
      <x:c r="K25" s="41" t="str">
        <x:f>IF($J25="节点进行中","今天正在节点/销售窗口内：看销量、库存承接、广告花费、转化和是否需要控投/清尾。",IF($J25="高频跟进","今天在高频跟进窗口：头部SKU每日看；重点看高库存、高花费、断货风险和ACOS。",IF($J25="二次排查","今天在二次排查窗口：补广告结构、关键词/ASIN、预算和Listing埋词。",IF($J25="一次排查","今天在一次排查窗口：先筛SKU，看历史动销、库存、利润和Listing匹配。",IF($J25="未到排查","暂不处理，等一次排查窗口。",IF($J25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5" s="42" t="n">
        <x:v>46117</x:v>
      </x:c>
      <x:c r="M25" s="42" t="n">
        <x:v>46123</x:v>
      </x:c>
      <x:c r="N25" s="42" t="n">
        <x:v>46042</x:v>
      </x:c>
      <x:c r="O25" s="42" t="n">
        <x:v>46057</x:v>
      </x:c>
      <x:c r="P25" s="42" t="n">
        <x:v>46077</x:v>
      </x:c>
      <x:c r="Q25" s="42" t="n">
        <x:v>46087</x:v>
      </x:c>
      <x:c r="R25" s="42" t="n">
        <x:v>46103</x:v>
      </x:c>
      <x:c r="S25" s="42" t="n">
        <x:v>46123</x:v>
      </x:c>
      <x:c r="T25" s="43" t="n">
        <x:f>$L25-TODAY()</x:f>
        <x:v>-32</x:v>
      </x:c>
    </x:row>
    <x:row r="26" ht="42" hidden="0" customHeight="1">
      <x:c r="A26" s="41" t="str">
        <x:v>National Doctors' Day</x:v>
      </x:c>
      <x:c r="B26" s="41" t="str">
        <x:v>全国医生节</x:v>
      </x:c>
      <x:c r="C26" s="41" t="str">
        <x:v>感谢医生和医师贡献的职业礼品节点，适合doctor gifts、physician gifts、medical appreciation。</x:v>
      </x:c>
      <x:c r="D26" s="41" t="str">
        <x:v>2026-03-30</x:v>
      </x:c>
      <x:c r="E26" s="41" t="str">
        <x:v>固定日期</x:v>
      </x:c>
      <x:c r="F26" s="41" t="str">
        <x:v>doctor/physician gifts、听诊器元素、感谢卡、桌面小礼</x:v>
      </x:c>
      <x:c r="G26" s="41" t="str">
        <x:v>2026-01-29 ~ 2026-02-13：先筛匹配SKU、历史销量、库存和利润空间。</x:v>
      </x:c>
      <x:c r="H26" s="41" t="str">
        <x:v>2026-02-28 ~ 2026-03-09：补关键词/ASIN、Listing埋词和广告预算。</x:v>
      </x:c>
      <x:c r="I26" s="41" t="str">
        <x:v>2026-03-16 ~ 2026-04-01：重点SKU每日看，普通SKU每2-3天看。</x:v>
      </x:c>
      <x:c r="J26" s="41" t="str">
        <x:f>IF(AND(TODAY()&gt;=$L26,TODAY()&lt;=$M26),"节点进行中",IF(AND(TODAY()&gt;=$R26,TODAY()&lt;=$S26),"高频跟进",IF(AND(TODAY()&gt;=$P26,TODAY()&lt;=$Q26),"二次排查",IF(AND(TODAY()&gt;=$N26,TODAY()&lt;=$O26),"一次排查",IF(TODAY()&lt;$N26,"未到排查",IF(TODAY()&lt;$L26,"等待下一窗口","已过"))))))</x:f>
        <x:v>已过</x:v>
      </x:c>
      <x:c r="K26" s="41" t="str">
        <x:f>IF($J26="节点进行中","今天正在节点/销售窗口内：看销量、库存承接、广告花费、转化和是否需要控投/清尾。",IF($J26="高频跟进","今天在高频跟进窗口：头部SKU每日看；重点看高库存、高花费、断货风险和ACOS。",IF($J26="二次排查","今天在二次排查窗口：补广告结构、关键词/ASIN、预算和Listing埋词。",IF($J26="一次排查","今天在一次排查窗口：先筛SKU，看历史动销、库存、利润和Listing匹配。",IF($J26="未到排查","暂不处理，等一次排查窗口。",IF($J26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6" s="42" t="n">
        <x:v>46111</x:v>
      </x:c>
      <x:c r="M26" s="42" t="n">
        <x:v>46111</x:v>
      </x:c>
      <x:c r="N26" s="42" t="n">
        <x:v>46051</x:v>
      </x:c>
      <x:c r="O26" s="42" t="n">
        <x:v>46066</x:v>
      </x:c>
      <x:c r="P26" s="42" t="n">
        <x:v>46081</x:v>
      </x:c>
      <x:c r="Q26" s="42" t="n">
        <x:v>46090</x:v>
      </x:c>
      <x:c r="R26" s="42" t="n">
        <x:v>46097</x:v>
      </x:c>
      <x:c r="S26" s="42" t="n">
        <x:v>46113</x:v>
      </x:c>
      <x:c r="T26" s="43" t="n">
        <x:f>$L26-TODAY()</x:f>
        <x:v>-38</x:v>
      </x:c>
    </x:row>
    <x:row r="27" ht="42" hidden="0" customHeight="1">
      <x:c r="A27" s="41" t="str">
        <x:v>Spring Back-to-School Season</x:v>
      </x:c>
      <x:c r="B27" s="41" t="str">
        <x:v>春季返校/春季开学季</x:v>
      </x:c>
      <x:c r="C27" s="41" t="str">
        <x:v>春季学期与学校用品补货窗口，适合学习用品、收纳和教师用品。</x:v>
      </x:c>
      <x:c r="D27" s="41" t="str">
        <x:v>2026-01-20 ~ 2026-03-10</x:v>
      </x:c>
      <x:c r="E27" s="41" t="str">
        <x:v>区间变动：按学校校历，取常用销售窗口</x:v>
      </x:c>
      <x:c r="F27" s="41" t="str">
        <x:v>文具、书签、收纳、宿舍装饰、老师/学生礼、课堂用品</x:v>
      </x:c>
      <x:c r="G27" s="41" t="str">
        <x:v>2025-10-22 ~ 2025-11-05：看历史动销起点、库存承接、Listing是否匹配。</x:v>
      </x:c>
      <x:c r="H27" s="41" t="str">
        <x:v>2025-12-06 ~ 2025-12-20：完成关键词/ASIN/主图标题检查，低预算轻测。</x:v>
      </x:c>
      <x:c r="I27" s="41" t="str">
        <x:v>2026-01-06 ~ 2026-02-13：头部SKU每日看，普通SKU每周2次。</x:v>
      </x:c>
      <x:c r="J27" s="41" t="str">
        <x:f>IF(AND(TODAY()&gt;=$L27,TODAY()&lt;=$M27),"节点进行中",IF(AND(TODAY()&gt;=$R27,TODAY()&lt;=$S27),"高频跟进",IF(AND(TODAY()&gt;=$P27,TODAY()&lt;=$Q27),"二次排查",IF(AND(TODAY()&gt;=$N27,TODAY()&lt;=$O27),"一次排查",IF(TODAY()&lt;$N27,"未到排查",IF(TODAY()&lt;$L27,"等待下一窗口","已过"))))))</x:f>
        <x:v>已过</x:v>
      </x:c>
      <x:c r="K27" s="41" t="str">
        <x:f>IF($J27="节点进行中","今天正在节点/销售窗口内：看销量、库存承接、广告花费、转化和是否需要控投/清尾。",IF($J27="高频跟进","今天在高频跟进窗口：头部SKU每日看；重点看高库存、高花费、断货风险和ACOS。",IF($J27="二次排查","今天在二次排查窗口：补广告结构、关键词/ASIN、预算和Listing埋词。",IF($J27="一次排查","今天在一次排查窗口：先筛SKU，看历史动销、库存、利润和Listing匹配。",IF($J27="未到排查","暂不处理，等一次排查窗口。",IF($J27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7" s="42" t="n">
        <x:v>46042</x:v>
      </x:c>
      <x:c r="M27" s="42" t="n">
        <x:v>46091</x:v>
      </x:c>
      <x:c r="N27" s="42" t="n">
        <x:v>45952</x:v>
      </x:c>
      <x:c r="O27" s="42" t="n">
        <x:v>45966</x:v>
      </x:c>
      <x:c r="P27" s="42" t="n">
        <x:v>45997</x:v>
      </x:c>
      <x:c r="Q27" s="42" t="n">
        <x:v>46011</x:v>
      </x:c>
      <x:c r="R27" s="42" t="n">
        <x:v>46028</x:v>
      </x:c>
      <x:c r="S27" s="42" t="n">
        <x:v>46066</x:v>
      </x:c>
      <x:c r="T27" s="43" t="n">
        <x:f>$L27-TODAY()</x:f>
        <x:v>-107</x:v>
      </x:c>
    </x:row>
    <x:row r="28" ht="42" hidden="0" customHeight="1">
      <x:c r="A28" s="41" t="str">
        <x:v>April Fools' Day</x:v>
      </x:c>
      <x:c r="B28" s="41" t="str">
        <x:v>愚人节</x:v>
      </x:c>
      <x:c r="C28" s="41" t="str">
        <x:v>轻松恶搞与派对互动节点，适合搞笑礼物、办公室互动小物。</x:v>
      </x:c>
      <x:c r="D28" s="41" t="str">
        <x:v>2026-04-01</x:v>
      </x:c>
      <x:c r="E28" s="41" t="str">
        <x:v>固定日期</x:v>
      </x:c>
      <x:c r="F28" s="41" t="str">
        <x:v>搞怪小礼物、party favors、办公室轻娱乐用品</x:v>
      </x:c>
      <x:c r="G28" s="41" t="str">
        <x:v>2026-01-31 ~ 2026-02-15：先筛匹配SKU、历史销量、库存和利润空间。</x:v>
      </x:c>
      <x:c r="H28" s="41" t="str">
        <x:v>2026-03-02 ~ 2026-03-11：补关键词/ASIN、Listing埋词和广告预算。</x:v>
      </x:c>
      <x:c r="I28" s="41" t="str">
        <x:v>2026-03-18 ~ 2026-04-03：重点SKU每日看，普通SKU每2-3天看。</x:v>
      </x:c>
      <x:c r="J28" s="41" t="str">
        <x:f>IF(AND(TODAY()&gt;=$L28,TODAY()&lt;=$M28),"节点进行中",IF(AND(TODAY()&gt;=$R28,TODAY()&lt;=$S28),"高频跟进",IF(AND(TODAY()&gt;=$P28,TODAY()&lt;=$Q28),"二次排查",IF(AND(TODAY()&gt;=$N28,TODAY()&lt;=$O28),"一次排查",IF(TODAY()&lt;$N28,"未到排查",IF(TODAY()&lt;$L28,"等待下一窗口","已过"))))))</x:f>
        <x:v>已过</x:v>
      </x:c>
      <x:c r="K28" s="41" t="str">
        <x:f>IF($J28="节点进行中","今天正在节点/销售窗口内：看销量、库存承接、广告花费、转化和是否需要控投/清尾。",IF($J28="高频跟进","今天在高频跟进窗口：头部SKU每日看；重点看高库存、高花费、断货风险和ACOS。",IF($J28="二次排查","今天在二次排查窗口：补广告结构、关键词/ASIN、预算和Listing埋词。",IF($J28="一次排查","今天在一次排查窗口：先筛SKU，看历史动销、库存、利润和Listing匹配。",IF($J28="未到排查","暂不处理，等一次排查窗口。",IF($J28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8" s="42" t="n">
        <x:v>46113</x:v>
      </x:c>
      <x:c r="M28" s="42" t="n">
        <x:v>46113</x:v>
      </x:c>
      <x:c r="N28" s="42" t="n">
        <x:v>46053</x:v>
      </x:c>
      <x:c r="O28" s="42" t="n">
        <x:v>46068</x:v>
      </x:c>
      <x:c r="P28" s="42" t="n">
        <x:v>46083</x:v>
      </x:c>
      <x:c r="Q28" s="42" t="n">
        <x:v>46092</x:v>
      </x:c>
      <x:c r="R28" s="42" t="n">
        <x:v>46099</x:v>
      </x:c>
      <x:c r="S28" s="42" t="n">
        <x:v>46115</x:v>
      </x:c>
      <x:c r="T28" s="43" t="n">
        <x:f>$L28-TODAY()</x:f>
        <x:v>-36</x:v>
      </x:c>
    </x:row>
    <x:row r="29" ht="42" hidden="0" customHeight="1">
      <x:c r="A29" s="41" t="str">
        <x:v>Autism Awareness Day</x:v>
      </x:c>
      <x:c r="B29" s="41" t="str">
        <x:v>世界自闭症关注日</x:v>
      </x:c>
      <x:c r="C29" s="41" t="str">
        <x:v>蓝色丝带与自闭症认知主题节点，适合公益、支持、意识提升类产品。</x:v>
      </x:c>
      <x:c r="D29" s="41" t="str">
        <x:v>2026-04-02</x:v>
      </x:c>
      <x:c r="E29" s="41" t="str">
        <x:v>固定日期</x:v>
      </x:c>
      <x:c r="F29" s="41" t="str">
        <x:v>意识/支持类产品：丝带、手链、鼓励卡、贴纸；敏感节点商业化要克制</x:v>
      </x:c>
      <x:c r="G29" s="41" t="str">
        <x:v>2026-01-02 ~ 2026-01-17：先确认产品真实匹配，避免硬蹭敏感议题。</x:v>
      </x:c>
      <x:c r="H29" s="41" t="str">
        <x:v>2026-02-16 ~ 2026-02-26：检查图片/文案/关键词是否克制且合规。</x:v>
      </x:c>
      <x:c r="I29" s="41" t="str">
        <x:v>2026-03-19 ~ 2026-04-02：每2-3天看；表现差或表达风险高就停。</x:v>
      </x:c>
      <x:c r="J29" s="41" t="str">
        <x:f>IF(AND(TODAY()&gt;=$L29,TODAY()&lt;=$M29),"节点进行中",IF(AND(TODAY()&gt;=$R29,TODAY()&lt;=$S29),"高频跟进",IF(AND(TODAY()&gt;=$P29,TODAY()&lt;=$Q29),"二次排查",IF(AND(TODAY()&gt;=$N29,TODAY()&lt;=$O29),"一次排查",IF(TODAY()&lt;$N29,"未到排查",IF(TODAY()&lt;$L29,"等待下一窗口","已过"))))))</x:f>
        <x:v>已过</x:v>
      </x:c>
      <x:c r="K29" s="41" t="str">
        <x:f>IF($J29="节点进行中","今天正在节点/销售窗口内：看销量、库存承接、广告花费、转化和是否需要控投/清尾。",IF($J29="高频跟进","今天在高频跟进窗口：头部SKU每日看；重点看高库存、高花费、断货风险和ACOS。",IF($J29="二次排查","今天在二次排查窗口：补广告结构、关键词/ASIN、预算和Listing埋词。",IF($J29="一次排查","今天在一次排查窗口：先筛SKU，看历史动销、库存、利润和Listing匹配。",IF($J29="未到排查","暂不处理，等一次排查窗口。",IF($J29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29" s="42" t="n">
        <x:v>46114</x:v>
      </x:c>
      <x:c r="M29" s="42" t="n">
        <x:v>46114</x:v>
      </x:c>
      <x:c r="N29" s="42" t="n">
        <x:v>46024</x:v>
      </x:c>
      <x:c r="O29" s="42" t="n">
        <x:v>46039</x:v>
      </x:c>
      <x:c r="P29" s="42" t="n">
        <x:v>46069</x:v>
      </x:c>
      <x:c r="Q29" s="42" t="n">
        <x:v>46079</x:v>
      </x:c>
      <x:c r="R29" s="42" t="n">
        <x:v>46100</x:v>
      </x:c>
      <x:c r="S29" s="42" t="n">
        <x:v>46114</x:v>
      </x:c>
      <x:c r="T29" s="43" t="n">
        <x:f>$L29-TODAY()</x:f>
        <x:v>-35</x:v>
      </x:c>
    </x:row>
    <x:row r="30" ht="42" hidden="0" customHeight="1">
      <x:c r="A30" s="41" t="str">
        <x:v>Paraprofessional Appreciation Day</x:v>
      </x:c>
      <x:c r="B30" s="41" t="str">
        <x:v>教育助理感谢日</x:v>
      </x:c>
      <x:c r="C30" s="41" t="str">
        <x:v>感谢课堂助教、特殊教育助理等辅助教育人员，适合批量感谢礼。</x:v>
      </x:c>
      <x:c r="D30" s="41" t="str">
        <x:v>2026-04-01</x:v>
      </x:c>
      <x:c r="E30" s="41" t="str">
        <x:v>每年变动</x:v>
      </x:c>
      <x:c r="F30" s="41" t="str">
        <x:v>para appreciation gifts、classroom assistant礼品、老师助理感谢卡</x:v>
      </x:c>
      <x:c r="G30" s="41" t="str">
        <x:v>2026-01-31 ~ 2026-02-15：先筛匹配SKU、历史销量、库存和利润空间。</x:v>
      </x:c>
      <x:c r="H30" s="41" t="str">
        <x:v>2026-03-02 ~ 2026-03-11：补关键词/ASIN、Listing埋词和广告预算。</x:v>
      </x:c>
      <x:c r="I30" s="41" t="str">
        <x:v>2026-03-18 ~ 2026-04-03：重点SKU每日看，普通SKU每2-3天看。</x:v>
      </x:c>
      <x:c r="J30" s="41" t="str">
        <x:f>IF(AND(TODAY()&gt;=$L30,TODAY()&lt;=$M30),"节点进行中",IF(AND(TODAY()&gt;=$R30,TODAY()&lt;=$S30),"高频跟进",IF(AND(TODAY()&gt;=$P30,TODAY()&lt;=$Q30),"二次排查",IF(AND(TODAY()&gt;=$N30,TODAY()&lt;=$O30),"一次排查",IF(TODAY()&lt;$N30,"未到排查",IF(TODAY()&lt;$L30,"等待下一窗口","已过"))))))</x:f>
        <x:v>已过</x:v>
      </x:c>
      <x:c r="K30" s="41" t="str">
        <x:f>IF($J30="节点进行中","今天正在节点/销售窗口内：看销量、库存承接、广告花费、转化和是否需要控投/清尾。",IF($J30="高频跟进","今天在高频跟进窗口：头部SKU每日看；重点看高库存、高花费、断货风险和ACOS。",IF($J30="二次排查","今天在二次排查窗口：补广告结构、关键词/ASIN、预算和Listing埋词。",IF($J30="一次排查","今天在一次排查窗口：先筛SKU，看历史动销、库存、利润和Listing匹配。",IF($J30="未到排查","暂不处理，等一次排查窗口。",IF($J30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0" s="42" t="n">
        <x:v>46113</x:v>
      </x:c>
      <x:c r="M30" s="42" t="n">
        <x:v>46113</x:v>
      </x:c>
      <x:c r="N30" s="42" t="n">
        <x:v>46053</x:v>
      </x:c>
      <x:c r="O30" s="42" t="n">
        <x:v>46068</x:v>
      </x:c>
      <x:c r="P30" s="42" t="n">
        <x:v>46083</x:v>
      </x:c>
      <x:c r="Q30" s="42" t="n">
        <x:v>46092</x:v>
      </x:c>
      <x:c r="R30" s="42" t="n">
        <x:v>46099</x:v>
      </x:c>
      <x:c r="S30" s="42" t="n">
        <x:v>46115</x:v>
      </x:c>
      <x:c r="T30" s="43" t="n">
        <x:f>$L30-TODAY()</x:f>
        <x:v>-36</x:v>
      </x:c>
    </x:row>
    <x:row r="31" ht="42" hidden="0" customHeight="1">
      <x:c r="A31" s="41" t="str">
        <x:v>Occupational Therapy Month</x:v>
      </x:c>
      <x:c r="B31" s="41" t="str">
        <x:v>职业治疗月</x:v>
      </x:c>
      <x:c r="C31" s="41" t="str">
        <x:v>整月关注职业治疗师与康复辅助专业，适合OT主题感谢礼。</x:v>
      </x:c>
      <x:c r="D31" s="41" t="str">
        <x:v>2026-04-01 ~ 2026-04-30</x:v>
      </x:c>
      <x:c r="E31" s="41" t="str">
        <x:v>固定月份</x:v>
      </x:c>
      <x:c r="F31" s="41" t="str">
        <x:v>OT gifts、occupational therapist感谢礼、therapy staff礼品</x:v>
      </x:c>
      <x:c r="G31" s="41" t="str">
        <x:v>2026-01-01 ~ 2026-01-16：筛对应SKU、查历史销量/库存/利润空间。</x:v>
      </x:c>
      <x:c r="H31" s="41" t="str">
        <x:v>2026-02-15 ~ 2026-02-25：补广告结构、关键词和Listing埋词。</x:v>
      </x:c>
      <x:c r="I31" s="41" t="str">
        <x:v>2026-03-18 ~ 2026-03-25：重点SKU每日或隔日看，长尾每周2次。</x:v>
      </x:c>
      <x:c r="J31" s="41" t="str">
        <x:f>IF(AND(TODAY()&gt;=$L31,TODAY()&lt;=$M31),"节点进行中",IF(AND(TODAY()&gt;=$R31,TODAY()&lt;=$S31),"高频跟进",IF(AND(TODAY()&gt;=$P31,TODAY()&lt;=$Q31),"二次排查",IF(AND(TODAY()&gt;=$N31,TODAY()&lt;=$O31),"一次排查",IF(TODAY()&lt;$N31,"未到排查",IF(TODAY()&lt;$L31,"等待下一窗口","已过"))))))</x:f>
        <x:v>已过</x:v>
      </x:c>
      <x:c r="K31" s="41" t="str">
        <x:f>IF($J31="节点进行中","今天正在节点/销售窗口内：看销量、库存承接、广告花费、转化和是否需要控投/清尾。",IF($J31="高频跟进","今天在高频跟进窗口：头部SKU每日看；重点看高库存、高花费、断货风险和ACOS。",IF($J31="二次排查","今天在二次排查窗口：补广告结构、关键词/ASIN、预算和Listing埋词。",IF($J31="一次排查","今天在一次排查窗口：先筛SKU，看历史动销、库存、利润和Listing匹配。",IF($J31="未到排查","暂不处理，等一次排查窗口。",IF($J31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1" s="42" t="n">
        <x:v>46113</x:v>
      </x:c>
      <x:c r="M31" s="42" t="n">
        <x:v>46142</x:v>
      </x:c>
      <x:c r="N31" s="42" t="n">
        <x:v>46023</x:v>
      </x:c>
      <x:c r="O31" s="42" t="n">
        <x:v>46038</x:v>
      </x:c>
      <x:c r="P31" s="42" t="n">
        <x:v>46068</x:v>
      </x:c>
      <x:c r="Q31" s="42" t="n">
        <x:v>46078</x:v>
      </x:c>
      <x:c r="R31" s="42" t="n">
        <x:v>46099</x:v>
      </x:c>
      <x:c r="S31" s="42" t="n">
        <x:v>46106</x:v>
      </x:c>
      <x:c r="T31" s="43" t="n">
        <x:f>$L31-TODAY()</x:f>
        <x:v>-36</x:v>
      </x:c>
    </x:row>
    <x:row r="32" ht="42" hidden="0" customHeight="1">
      <x:c r="A32" s="41" t="str">
        <x:v>Occupational Therapy Week</x:v>
      </x:c>
      <x:c r="B32" s="41" t="str">
        <x:v>职业治疗周</x:v>
      </x:c>
      <x:c r="C32" s="41" t="str">
        <x:v>职业治疗师集中宣传与感谢窗口，适合专业人员礼物。</x:v>
      </x:c>
      <x:c r="D32" s="41" t="str">
        <x:v>2026-04-12 ~ 2026-04-18</x:v>
      </x:c>
      <x:c r="E32" s="41" t="str">
        <x:v>每年变动：4月中旬常用窗口，需按机构日历复核</x:v>
      </x:c>
      <x:c r="F32" s="41" t="str">
        <x:v>OT gifts、occupational therapist感谢礼、therapy staff礼品</x:v>
      </x:c>
      <x:c r="G32" s="41" t="str">
        <x:v>2026-01-27 ~ 2026-02-11：按职业词筛SKU，核库存、历史动销和礼品适配。</x:v>
      </x:c>
      <x:c r="H32" s="41" t="str">
        <x:v>2026-03-03 ~ 2026-03-13：建/补广告组，补关键词/ASIN，处理低效流量。</x:v>
      </x:c>
      <x:c r="I32" s="41" t="str">
        <x:v>2026-03-29 ~ 2026-04-18：高库存/高花费SKU每日看，其余2-3天看。</x:v>
      </x:c>
      <x:c r="J32" s="41" t="str">
        <x:f>IF(AND(TODAY()&gt;=$L32,TODAY()&lt;=$M32),"节点进行中",IF(AND(TODAY()&gt;=$R32,TODAY()&lt;=$S32),"高频跟进",IF(AND(TODAY()&gt;=$P32,TODAY()&lt;=$Q32),"二次排查",IF(AND(TODAY()&gt;=$N32,TODAY()&lt;=$O32),"一次排查",IF(TODAY()&lt;$N32,"未到排查",IF(TODAY()&lt;$L32,"等待下一窗口","已过"))))))</x:f>
        <x:v>已过</x:v>
      </x:c>
      <x:c r="K32" s="41" t="str">
        <x:f>IF($J32="节点进行中","今天正在节点/销售窗口内：看销量、库存承接、广告花费、转化和是否需要控投/清尾。",IF($J32="高频跟进","今天在高频跟进窗口：头部SKU每日看；重点看高库存、高花费、断货风险和ACOS。",IF($J32="二次排查","今天在二次排查窗口：补广告结构、关键词/ASIN、预算和Listing埋词。",IF($J32="一次排查","今天在一次排查窗口：先筛SKU，看历史动销、库存、利润和Listing匹配。",IF($J32="未到排查","暂不处理，等一次排查窗口。",IF($J32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2" s="42" t="n">
        <x:v>46124</x:v>
      </x:c>
      <x:c r="M32" s="42" t="n">
        <x:v>46130</x:v>
      </x:c>
      <x:c r="N32" s="42" t="n">
        <x:v>46049</x:v>
      </x:c>
      <x:c r="O32" s="42" t="n">
        <x:v>46064</x:v>
      </x:c>
      <x:c r="P32" s="42" t="n">
        <x:v>46084</x:v>
      </x:c>
      <x:c r="Q32" s="42" t="n">
        <x:v>46094</x:v>
      </x:c>
      <x:c r="R32" s="42" t="n">
        <x:v>46110</x:v>
      </x:c>
      <x:c r="S32" s="42" t="n">
        <x:v>46130</x:v>
      </x:c>
      <x:c r="T32" s="43" t="n">
        <x:f>$L32-TODAY()</x:f>
        <x:v>-25</x:v>
      </x:c>
    </x:row>
    <x:row r="33" ht="42" hidden="0" customHeight="1">
      <x:c r="A33" s="41" t="str">
        <x:v>National Public Health Week</x:v>
      </x:c>
      <x:c r="B33" s="41" t="str">
        <x:v>全国公共卫生周</x:v>
      </x:c>
      <x:c r="C33" s="41" t="str">
        <x:v>公共卫生宣传与健康教育节点，适合健康、社区、医护相关内容。</x:v>
      </x:c>
      <x:c r="D33" s="41" t="str">
        <x:v>2026-04-06 ~ 2026-04-12</x:v>
      </x:c>
      <x:c r="E33" s="41" t="str">
        <x:v>每年变动</x:v>
      </x:c>
      <x:c r="F33" s="41" t="str">
        <x:v>public health worker gifts、health awareness cards、团队感谢礼</x:v>
      </x:c>
      <x:c r="G33" s="41" t="str">
        <x:v>2026-01-21 ~ 2026-02-05：按职业词筛SKU，核库存、历史动销和礼品适配。</x:v>
      </x:c>
      <x:c r="H33" s="41" t="str">
        <x:v>2026-02-25 ~ 2026-03-07：建/补广告组，补关键词/ASIN，处理低效流量。</x:v>
      </x:c>
      <x:c r="I33" s="41" t="str">
        <x:v>2026-03-23 ~ 2026-04-12：高库存/高花费SKU每日看，其余2-3天看。</x:v>
      </x:c>
      <x:c r="J33" s="41" t="str">
        <x:f>IF(AND(TODAY()&gt;=$L33,TODAY()&lt;=$M33),"节点进行中",IF(AND(TODAY()&gt;=$R33,TODAY()&lt;=$S33),"高频跟进",IF(AND(TODAY()&gt;=$P33,TODAY()&lt;=$Q33),"二次排查",IF(AND(TODAY()&gt;=$N33,TODAY()&lt;=$O33),"一次排查",IF(TODAY()&lt;$N33,"未到排查",IF(TODAY()&lt;$L33,"等待下一窗口","已过"))))))</x:f>
        <x:v>已过</x:v>
      </x:c>
      <x:c r="K33" s="41" t="str">
        <x:f>IF($J33="节点进行中","今天正在节点/销售窗口内：看销量、库存承接、广告花费、转化和是否需要控投/清尾。",IF($J33="高频跟进","今天在高频跟进窗口：头部SKU每日看；重点看高库存、高花费、断货风险和ACOS。",IF($J33="二次排查","今天在二次排查窗口：补广告结构、关键词/ASIN、预算和Listing埋词。",IF($J33="一次排查","今天在一次排查窗口：先筛SKU，看历史动销、库存、利润和Listing匹配。",IF($J33="未到排查","暂不处理，等一次排查窗口。",IF($J33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3" s="42" t="n">
        <x:v>46118</x:v>
      </x:c>
      <x:c r="M33" s="42" t="n">
        <x:v>46124</x:v>
      </x:c>
      <x:c r="N33" s="42" t="n">
        <x:v>46043</x:v>
      </x:c>
      <x:c r="O33" s="42" t="n">
        <x:v>46058</x:v>
      </x:c>
      <x:c r="P33" s="42" t="n">
        <x:v>46078</x:v>
      </x:c>
      <x:c r="Q33" s="42" t="n">
        <x:v>46088</x:v>
      </x:c>
      <x:c r="R33" s="42" t="n">
        <x:v>46104</x:v>
      </x:c>
      <x:c r="S33" s="42" t="n">
        <x:v>46124</x:v>
      </x:c>
      <x:c r="T33" s="43" t="n">
        <x:f>$L33-TODAY()</x:f>
        <x:v>-31</x:v>
      </x:c>
    </x:row>
    <x:row r="34" ht="42" hidden="0" customHeight="1">
      <x:c r="A34" s="41" t="str">
        <x:v>National Librarian Day</x:v>
      </x:c>
      <x:c r="B34" s="41" t="str">
        <x:v>全国图书管理员日</x:v>
      </x:c>
      <x:c r="C34" s="41" t="str">
        <x:v>感谢图书馆员和信息服务人员，适合librarian gifts、book lover、library appreciation礼品。</x:v>
      </x:c>
      <x:c r="D34" s="41" t="str">
        <x:v>2026-04-16</x:v>
      </x:c>
      <x:c r="E34" s="41" t="str">
        <x:v>固定日期</x:v>
      </x:c>
      <x:c r="F34" s="41" t="str">
        <x:v>书签、reading cards、librarian gifts、teacher classroom礼品</x:v>
      </x:c>
      <x:c r="G34" s="41" t="str">
        <x:v>2026-02-15 ~ 2026-03-02：先筛匹配SKU、历史销量、库存和利润空间。</x:v>
      </x:c>
      <x:c r="H34" s="41" t="str">
        <x:v>2026-03-17 ~ 2026-03-26：补关键词/ASIN、Listing埋词和广告预算。</x:v>
      </x:c>
      <x:c r="I34" s="41" t="str">
        <x:v>2026-04-02 ~ 2026-04-18：重点SKU每日看，普通SKU每2-3天看。</x:v>
      </x:c>
      <x:c r="J34" s="41" t="str">
        <x:f>IF(AND(TODAY()&gt;=$L34,TODAY()&lt;=$M34),"节点进行中",IF(AND(TODAY()&gt;=$R34,TODAY()&lt;=$S34),"高频跟进",IF(AND(TODAY()&gt;=$P34,TODAY()&lt;=$Q34),"二次排查",IF(AND(TODAY()&gt;=$N34,TODAY()&lt;=$O34),"一次排查",IF(TODAY()&lt;$N34,"未到排查",IF(TODAY()&lt;$L34,"等待下一窗口","已过"))))))</x:f>
        <x:v>已过</x:v>
      </x:c>
      <x:c r="K34" s="41" t="str">
        <x:f>IF($J34="节点进行中","今天正在节点/销售窗口内：看销量、库存承接、广告花费、转化和是否需要控投/清尾。",IF($J34="高频跟进","今天在高频跟进窗口：头部SKU每日看；重点看高库存、高花费、断货风险和ACOS。",IF($J34="二次排查","今天在二次排查窗口：补广告结构、关键词/ASIN、预算和Listing埋词。",IF($J34="一次排查","今天在一次排查窗口：先筛SKU，看历史动销、库存、利润和Listing匹配。",IF($J34="未到排查","暂不处理，等一次排查窗口。",IF($J34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4" s="42" t="n">
        <x:v>46128</x:v>
      </x:c>
      <x:c r="M34" s="42" t="n">
        <x:v>46128</x:v>
      </x:c>
      <x:c r="N34" s="42" t="n">
        <x:v>46068</x:v>
      </x:c>
      <x:c r="O34" s="42" t="n">
        <x:v>46083</x:v>
      </x:c>
      <x:c r="P34" s="42" t="n">
        <x:v>46098</x:v>
      </x:c>
      <x:c r="Q34" s="42" t="n">
        <x:v>46107</x:v>
      </x:c>
      <x:c r="R34" s="42" t="n">
        <x:v>46114</x:v>
      </x:c>
      <x:c r="S34" s="42" t="n">
        <x:v>46130</x:v>
      </x:c>
      <x:c r="T34" s="43" t="n">
        <x:f>$L34-TODAY()</x:f>
        <x:v>-21</x:v>
      </x:c>
    </x:row>
    <x:row r="35" ht="42" hidden="0" customHeight="1">
      <x:c r="A35" s="41" t="str">
        <x:v>National Library Week</x:v>
      </x:c>
      <x:c r="B35" s="41" t="str">
        <x:v>全国图书馆周</x:v>
      </x:c>
      <x:c r="C35" s="41" t="str">
        <x:v>宣传图书馆价值与阅读服务，适合图书馆、阅读、书签、老师和学生相关产品。</x:v>
      </x:c>
      <x:c r="D35" s="41" t="str">
        <x:v>2026-04-19 ~ 2026-04-25</x:v>
      </x:c>
      <x:c r="E35" s="41" t="str">
        <x:v>每年变动</x:v>
      </x:c>
      <x:c r="F35" s="41" t="str">
        <x:v>书签、reading cards、librarian gifts、teacher classroom礼品</x:v>
      </x:c>
      <x:c r="G35" s="41" t="str">
        <x:v>2026-02-03 ~ 2026-02-18：按职业词筛SKU，核库存、历史动销和礼品适配。</x:v>
      </x:c>
      <x:c r="H35" s="41" t="str">
        <x:v>2026-03-10 ~ 2026-03-20：建/补广告组，补关键词/ASIN，处理低效流量。</x:v>
      </x:c>
      <x:c r="I35" s="41" t="str">
        <x:v>2026-04-05 ~ 2026-04-25：高库存/高花费SKU每日看，其余2-3天看。</x:v>
      </x:c>
      <x:c r="J35" s="41" t="str">
        <x:f>IF(AND(TODAY()&gt;=$L35,TODAY()&lt;=$M35),"节点进行中",IF(AND(TODAY()&gt;=$R35,TODAY()&lt;=$S35),"高频跟进",IF(AND(TODAY()&gt;=$P35,TODAY()&lt;=$Q35),"二次排查",IF(AND(TODAY()&gt;=$N35,TODAY()&lt;=$O35),"一次排查",IF(TODAY()&lt;$N35,"未到排查",IF(TODAY()&lt;$L35,"等待下一窗口","已过"))))))</x:f>
        <x:v>已过</x:v>
      </x:c>
      <x:c r="K35" s="41" t="str">
        <x:f>IF($J35="节点进行中","今天正在节点/销售窗口内：看销量、库存承接、广告花费、转化和是否需要控投/清尾。",IF($J35="高频跟进","今天在高频跟进窗口：头部SKU每日看；重点看高库存、高花费、断货风险和ACOS。",IF($J35="二次排查","今天在二次排查窗口：补广告结构、关键词/ASIN、预算和Listing埋词。",IF($J35="一次排查","今天在一次排查窗口：先筛SKU，看历史动销、库存、利润和Listing匹配。",IF($J35="未到排查","暂不处理，等一次排查窗口。",IF($J35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5" s="42" t="n">
        <x:v>46131</x:v>
      </x:c>
      <x:c r="M35" s="42" t="n">
        <x:v>46137</x:v>
      </x:c>
      <x:c r="N35" s="42" t="n">
        <x:v>46056</x:v>
      </x:c>
      <x:c r="O35" s="42" t="n">
        <x:v>46071</x:v>
      </x:c>
      <x:c r="P35" s="42" t="n">
        <x:v>46091</x:v>
      </x:c>
      <x:c r="Q35" s="42" t="n">
        <x:v>46101</x:v>
      </x:c>
      <x:c r="R35" s="42" t="n">
        <x:v>46117</x:v>
      </x:c>
      <x:c r="S35" s="42" t="n">
        <x:v>46137</x:v>
      </x:c>
      <x:c r="T35" s="43" t="n">
        <x:f>$L35-TODAY()</x:f>
        <x:v>-18</x:v>
      </x:c>
    </x:row>
    <x:row r="36" ht="42" hidden="0" customHeight="1">
      <x:c r="A36" s="41" t="str">
        <x:v>Earth Day</x:v>
      </x:c>
      <x:c r="B36" s="41" t="str">
        <x:v>世界地球日</x:v>
      </x:c>
      <x:c r="C36" s="41" t="str">
        <x:v>全球环保行动节点，适合环保、自然、植物、可持续、课堂活动和志愿者主题。</x:v>
      </x:c>
      <x:c r="D36" s="41" t="str">
        <x:v>2026-04-22</x:v>
      </x:c>
      <x:c r="E36" s="41" t="str">
        <x:v>固定日期+活动区间</x:v>
      </x:c>
      <x:c r="F36" s="41" t="str">
        <x:v>volunteer appreciation gifts、thank you cards、钥匙扣、pocket hug</x:v>
      </x:c>
      <x:c r="G36" s="41" t="str">
        <x:v>2026-02-21 ~ 2026-03-08：先筛匹配SKU、历史销量、库存和利润空间。</x:v>
      </x:c>
      <x:c r="H36" s="41" t="str">
        <x:v>2026-03-23 ~ 2026-04-01：补关键词/ASIN、Listing埋词和广告预算。</x:v>
      </x:c>
      <x:c r="I36" s="41" t="str">
        <x:v>2026-04-08 ~ 2026-04-24：重点SKU每日看，普通SKU每2-3天看。</x:v>
      </x:c>
      <x:c r="J36" s="41" t="str">
        <x:f>IF(AND(TODAY()&gt;=$L36,TODAY()&lt;=$M36),"节点进行中",IF(AND(TODAY()&gt;=$R36,TODAY()&lt;=$S36),"高频跟进",IF(AND(TODAY()&gt;=$P36,TODAY()&lt;=$Q36),"二次排查",IF(AND(TODAY()&gt;=$N36,TODAY()&lt;=$O36),"一次排查",IF(TODAY()&lt;$N36,"未到排查",IF(TODAY()&lt;$L36,"等待下一窗口","已过"))))))</x:f>
        <x:v>已过</x:v>
      </x:c>
      <x:c r="K36" s="41" t="str">
        <x:f>IF($J36="节点进行中","今天正在节点/销售窗口内：看销量、库存承接、广告花费、转化和是否需要控投/清尾。",IF($J36="高频跟进","今天在高频跟进窗口：头部SKU每日看；重点看高库存、高花费、断货风险和ACOS。",IF($J36="二次排查","今天在二次排查窗口：补广告结构、关键词/ASIN、预算和Listing埋词。",IF($J36="一次排查","今天在一次排查窗口：先筛SKU，看历史动销、库存、利润和Listing匹配。",IF($J36="未到排查","暂不处理，等一次排查窗口。",IF($J36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6" s="42" t="n">
        <x:v>46134</x:v>
      </x:c>
      <x:c r="M36" s="42" t="n">
        <x:v>46134</x:v>
      </x:c>
      <x:c r="N36" s="42" t="n">
        <x:v>46074</x:v>
      </x:c>
      <x:c r="O36" s="42" t="n">
        <x:v>46089</x:v>
      </x:c>
      <x:c r="P36" s="42" t="n">
        <x:v>46104</x:v>
      </x:c>
      <x:c r="Q36" s="42" t="n">
        <x:v>46113</x:v>
      </x:c>
      <x:c r="R36" s="42" t="n">
        <x:v>46120</x:v>
      </x:c>
      <x:c r="S36" s="42" t="n">
        <x:v>46136</x:v>
      </x:c>
      <x:c r="T36" s="43" t="n">
        <x:f>$L36-TODAY()</x:f>
        <x:v>-15</x:v>
      </x:c>
    </x:row>
    <x:row r="37" ht="42" hidden="0" customHeight="1">
      <x:c r="A37" s="41" t="str">
        <x:v>National Volunteer Week</x:v>
      </x:c>
      <x:c r="B37" s="41" t="str">
        <x:v>全国志愿者周</x:v>
      </x:c>
      <x:c r="C37" s="41" t="str">
        <x:v>表彰志愿者与公益参与者，适合志愿者感谢礼和组织活动用品。</x:v>
      </x:c>
      <x:c r="D37" s="41" t="str">
        <x:v>2026-04-19 ~ 2026-04-25</x:v>
      </x:c>
      <x:c r="E37" s="41" t="str">
        <x:v>每年变动</x:v>
      </x:c>
      <x:c r="F37" s="41" t="str">
        <x:v>volunteer appreciation gifts、thank you cards、钥匙扣、pocket hug</x:v>
      </x:c>
      <x:c r="G37" s="41" t="str">
        <x:v>2026-02-03 ~ 2026-02-18：按职业词筛SKU，核库存、历史动销和礼品适配。</x:v>
      </x:c>
      <x:c r="H37" s="41" t="str">
        <x:v>2026-03-10 ~ 2026-03-20：建/补广告组，补关键词/ASIN，处理低效流量。</x:v>
      </x:c>
      <x:c r="I37" s="41" t="str">
        <x:v>2026-04-05 ~ 2026-04-25：高库存/高花费SKU每日看，其余2-3天看。</x:v>
      </x:c>
      <x:c r="J37" s="41" t="str">
        <x:f>IF(AND(TODAY()&gt;=$L37,TODAY()&lt;=$M37),"节点进行中",IF(AND(TODAY()&gt;=$R37,TODAY()&lt;=$S37),"高频跟进",IF(AND(TODAY()&gt;=$P37,TODAY()&lt;=$Q37),"二次排查",IF(AND(TODAY()&gt;=$N37,TODAY()&lt;=$O37),"一次排查",IF(TODAY()&lt;$N37,"未到排查",IF(TODAY()&lt;$L37,"等待下一窗口","已过"))))))</x:f>
        <x:v>已过</x:v>
      </x:c>
      <x:c r="K37" s="41" t="str">
        <x:f>IF($J37="节点进行中","今天正在节点/销售窗口内：看销量、库存承接、广告花费、转化和是否需要控投/清尾。",IF($J37="高频跟进","今天在高频跟进窗口：头部SKU每日看；重点看高库存、高花费、断货风险和ACOS。",IF($J37="二次排查","今天在二次排查窗口：补广告结构、关键词/ASIN、预算和Listing埋词。",IF($J37="一次排查","今天在一次排查窗口：先筛SKU，看历史动销、库存、利润和Listing匹配。",IF($J37="未到排查","暂不处理，等一次排查窗口。",IF($J37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7" s="42" t="n">
        <x:v>46131</x:v>
      </x:c>
      <x:c r="M37" s="42" t="n">
        <x:v>46137</x:v>
      </x:c>
      <x:c r="N37" s="42" t="n">
        <x:v>46056</x:v>
      </x:c>
      <x:c r="O37" s="42" t="n">
        <x:v>46071</x:v>
      </x:c>
      <x:c r="P37" s="42" t="n">
        <x:v>46091</x:v>
      </x:c>
      <x:c r="Q37" s="42" t="n">
        <x:v>46101</x:v>
      </x:c>
      <x:c r="R37" s="42" t="n">
        <x:v>46117</x:v>
      </x:c>
      <x:c r="S37" s="42" t="n">
        <x:v>46137</x:v>
      </x:c>
      <x:c r="T37" s="43" t="n">
        <x:f>$L37-TODAY()</x:f>
        <x:v>-18</x:v>
      </x:c>
    </x:row>
    <x:row r="38" ht="42" hidden="0" customHeight="1">
      <x:c r="A38" s="41" t="str">
        <x:v>Administrative Professionals Week</x:v>
      </x:c>
      <x:c r="B38" s="41" t="str">
        <x:v>行政专业人员周</x:v>
      </x:c>
      <x:c r="C38" s="41" t="str">
        <x:v>表彰行政、秘书、前台、办公室支持岗位，适合职场感谢礼。</x:v>
      </x:c>
      <x:c r="D38" s="41" t="str">
        <x:v>2026-04-19 ~ 2026-04-25</x:v>
      </x:c>
      <x:c r="E38" s="41" t="str">
        <x:v>每年变动：行政专业人员日所在周</x:v>
      </x:c>
      <x:c r="F38" s="41" t="str">
        <x:v>office appreciation gifts、admin/HR/employee bulk gifts、感谢卡/杯子</x:v>
      </x:c>
      <x:c r="G38" s="41" t="str">
        <x:v>2026-02-03 ~ 2026-02-18：按职业词筛SKU，核库存、历史动销和礼品适配。</x:v>
      </x:c>
      <x:c r="H38" s="41" t="str">
        <x:v>2026-03-10 ~ 2026-03-20：建/补广告组，补关键词/ASIN，处理低效流量。</x:v>
      </x:c>
      <x:c r="I38" s="41" t="str">
        <x:v>2026-04-05 ~ 2026-04-25：高库存/高花费SKU每日看，其余2-3天看。</x:v>
      </x:c>
      <x:c r="J38" s="41" t="str">
        <x:f>IF(AND(TODAY()&gt;=$L38,TODAY()&lt;=$M38),"节点进行中",IF(AND(TODAY()&gt;=$R38,TODAY()&lt;=$S38),"高频跟进",IF(AND(TODAY()&gt;=$P38,TODAY()&lt;=$Q38),"二次排查",IF(AND(TODAY()&gt;=$N38,TODAY()&lt;=$O38),"一次排查",IF(TODAY()&lt;$N38,"未到排查",IF(TODAY()&lt;$L38,"等待下一窗口","已过"))))))</x:f>
        <x:v>已过</x:v>
      </x:c>
      <x:c r="K38" s="41" t="str">
        <x:f>IF($J38="节点进行中","今天正在节点/销售窗口内：看销量、库存承接、广告花费、转化和是否需要控投/清尾。",IF($J38="高频跟进","今天在高频跟进窗口：头部SKU每日看；重点看高库存、高花费、断货风险和ACOS。",IF($J38="二次排查","今天在二次排查窗口：补广告结构、关键词/ASIN、预算和Listing埋词。",IF($J38="一次排查","今天在一次排查窗口：先筛SKU，看历史动销、库存、利润和Listing匹配。",IF($J38="未到排查","暂不处理，等一次排查窗口。",IF($J38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8" s="42" t="n">
        <x:v>46131</x:v>
      </x:c>
      <x:c r="M38" s="42" t="n">
        <x:v>46137</x:v>
      </x:c>
      <x:c r="N38" s="42" t="n">
        <x:v>46056</x:v>
      </x:c>
      <x:c r="O38" s="42" t="n">
        <x:v>46071</x:v>
      </x:c>
      <x:c r="P38" s="42" t="n">
        <x:v>46091</x:v>
      </x:c>
      <x:c r="Q38" s="42" t="n">
        <x:v>46101</x:v>
      </x:c>
      <x:c r="R38" s="42" t="n">
        <x:v>46117</x:v>
      </x:c>
      <x:c r="S38" s="42" t="n">
        <x:v>46137</x:v>
      </x:c>
      <x:c r="T38" s="43" t="n">
        <x:f>$L38-TODAY()</x:f>
        <x:v>-18</x:v>
      </x:c>
    </x:row>
    <x:row r="39" ht="42" hidden="0" customHeight="1">
      <x:c r="A39" s="41" t="str">
        <x:v>Administrative Professionals Day / Secretary Day</x:v>
      </x:c>
      <x:c r="B39" s="41" t="str">
        <x:v>行政专业人员日/秘书节</x:v>
      </x:c>
      <x:c r="C39" s="41" t="str">
        <x:v>集中感谢秘书、行政助理、前台和办公室管理人员。</x:v>
      </x:c>
      <x:c r="D39" s="41" t="str">
        <x:v>2026-04-22</x:v>
      </x:c>
      <x:c r="E39" s="41" t="str">
        <x:v>每年变动</x:v>
      </x:c>
      <x:c r="F39" s="41" t="str">
        <x:v>office appreciation gifts、admin/HR/employee bulk gifts、感谢卡/杯子</x:v>
      </x:c>
      <x:c r="G39" s="41" t="str">
        <x:v>2026-02-21 ~ 2026-03-08：先筛匹配SKU、历史销量、库存和利润空间。</x:v>
      </x:c>
      <x:c r="H39" s="41" t="str">
        <x:v>2026-03-23 ~ 2026-04-01：补关键词/ASIN、Listing埋词和广告预算。</x:v>
      </x:c>
      <x:c r="I39" s="41" t="str">
        <x:v>2026-04-08 ~ 2026-04-24：重点SKU每日看，普通SKU每2-3天看。</x:v>
      </x:c>
      <x:c r="J39" s="41" t="str">
        <x:f>IF(AND(TODAY()&gt;=$L39,TODAY()&lt;=$M39),"节点进行中",IF(AND(TODAY()&gt;=$R39,TODAY()&lt;=$S39),"高频跟进",IF(AND(TODAY()&gt;=$P39,TODAY()&lt;=$Q39),"二次排查",IF(AND(TODAY()&gt;=$N39,TODAY()&lt;=$O39),"一次排查",IF(TODAY()&lt;$N39,"未到排查",IF(TODAY()&lt;$L39,"等待下一窗口","已过"))))))</x:f>
        <x:v>已过</x:v>
      </x:c>
      <x:c r="K39" s="41" t="str">
        <x:f>IF($J39="节点进行中","今天正在节点/销售窗口内：看销量、库存承接、广告花费、转化和是否需要控投/清尾。",IF($J39="高频跟进","今天在高频跟进窗口：头部SKU每日看；重点看高库存、高花费、断货风险和ACOS。",IF($J39="二次排查","今天在二次排查窗口：补广告结构、关键词/ASIN、预算和Listing埋词。",IF($J39="一次排查","今天在一次排查窗口：先筛SKU，看历史动销、库存、利润和Listing匹配。",IF($J39="未到排查","暂不处理，等一次排查窗口。",IF($J39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39" s="42" t="n">
        <x:v>46134</x:v>
      </x:c>
      <x:c r="M39" s="42" t="n">
        <x:v>46134</x:v>
      </x:c>
      <x:c r="N39" s="42" t="n">
        <x:v>46074</x:v>
      </x:c>
      <x:c r="O39" s="42" t="n">
        <x:v>46089</x:v>
      </x:c>
      <x:c r="P39" s="42" t="n">
        <x:v>46104</x:v>
      </x:c>
      <x:c r="Q39" s="42" t="n">
        <x:v>46113</x:v>
      </x:c>
      <x:c r="R39" s="42" t="n">
        <x:v>46120</x:v>
      </x:c>
      <x:c r="S39" s="42" t="n">
        <x:v>46136</x:v>
      </x:c>
      <x:c r="T39" s="43" t="n">
        <x:f>$L39-TODAY()</x:f>
        <x:v>-15</x:v>
      </x:c>
    </x:row>
    <x:row r="40" ht="42" hidden="0" customHeight="1">
      <x:c r="A40" s="41" t="str">
        <x:v>Medical Laboratory Professionals Week / Lab Week</x:v>
      </x:c>
      <x:c r="B40" s="41" t="str">
        <x:v>医学检验专业人员周/实验室周</x:v>
      </x:c>
      <x:c r="C40" s="41" t="str">
        <x:v>表彰实验室、病理、医学检验人员，适合lab tech主题礼品。</x:v>
      </x:c>
      <x:c r="D40" s="41" t="str">
        <x:v>2026-04-19 ~ 2026-04-25</x:v>
      </x:c>
      <x:c r="E40" s="41" t="str">
        <x:v>每年变动</x:v>
      </x:c>
      <x:c r="F40" s="41" t="str">
        <x:v>lab tech gifts、medical laboratory gifts、显微镜/试管元素小礼</x:v>
      </x:c>
      <x:c r="G40" s="41" t="str">
        <x:v>2026-02-03 ~ 2026-02-18：按职业词筛SKU，核库存、历史动销和礼品适配。</x:v>
      </x:c>
      <x:c r="H40" s="41" t="str">
        <x:v>2026-03-10 ~ 2026-03-20：建/补广告组，补关键词/ASIN，处理低效流量。</x:v>
      </x:c>
      <x:c r="I40" s="41" t="str">
        <x:v>2026-04-05 ~ 2026-04-25：高库存/高花费SKU每日看，其余2-3天看。</x:v>
      </x:c>
      <x:c r="J40" s="41" t="str">
        <x:f>IF(AND(TODAY()&gt;=$L40,TODAY()&lt;=$M40),"节点进行中",IF(AND(TODAY()&gt;=$R40,TODAY()&lt;=$S40),"高频跟进",IF(AND(TODAY()&gt;=$P40,TODAY()&lt;=$Q40),"二次排查",IF(AND(TODAY()&gt;=$N40,TODAY()&lt;=$O40),"一次排查",IF(TODAY()&lt;$N40,"未到排查",IF(TODAY()&lt;$L40,"等待下一窗口","已过"))))))</x:f>
        <x:v>已过</x:v>
      </x:c>
      <x:c r="K40" s="41" t="str">
        <x:f>IF($J40="节点进行中","今天正在节点/销售窗口内：看销量、库存承接、广告花费、转化和是否需要控投/清尾。",IF($J40="高频跟进","今天在高频跟进窗口：头部SKU每日看；重点看高库存、高花费、断货风险和ACOS。",IF($J40="二次排查","今天在二次排查窗口：补广告结构、关键词/ASIN、预算和Listing埋词。",IF($J40="一次排查","今天在一次排查窗口：先筛SKU，看历史动销、库存、利润和Listing匹配。",IF($J40="未到排查","暂不处理，等一次排查窗口。",IF($J40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0" s="42" t="n">
        <x:v>46131</x:v>
      </x:c>
      <x:c r="M40" s="42" t="n">
        <x:v>46137</x:v>
      </x:c>
      <x:c r="N40" s="42" t="n">
        <x:v>46056</x:v>
      </x:c>
      <x:c r="O40" s="42" t="n">
        <x:v>46071</x:v>
      </x:c>
      <x:c r="P40" s="42" t="n">
        <x:v>46091</x:v>
      </x:c>
      <x:c r="Q40" s="42" t="n">
        <x:v>46101</x:v>
      </x:c>
      <x:c r="R40" s="42" t="n">
        <x:v>46117</x:v>
      </x:c>
      <x:c r="S40" s="42" t="n">
        <x:v>46137</x:v>
      </x:c>
      <x:c r="T40" s="43" t="n">
        <x:f>$L40-TODAY()</x:f>
        <x:v>-18</x:v>
      </x:c>
    </x:row>
    <x:row r="41" ht="42" hidden="0" customHeight="1">
      <x:c r="A41" s="41" t="str">
        <x:v>Dispatcher Week / Public Safety Telecommunicators Week</x:v>
      </x:c>
      <x:c r="B41" s="41" t="str">
        <x:v>调度员/公共安全通信员周</x:v>
      </x:c>
      <x:c r="C41" s="41" t="str">
        <x:v>表彰911调度员与公共安全通信人员，适合dispatcher感谢礼。</x:v>
      </x:c>
      <x:c r="D41" s="41" t="str">
        <x:v>2026-04-12 ~ 2026-04-18</x:v>
      </x:c>
      <x:c r="E41" s="41" t="str">
        <x:v>每年变动</x:v>
      </x:c>
      <x:c r="F41" s="41" t="str">
        <x:v>911 dispatcher gifts、telecommunicator感谢礼、耳机/调度元素小礼</x:v>
      </x:c>
      <x:c r="G41" s="41" t="str">
        <x:v>2026-01-27 ~ 2026-02-11：按职业词筛SKU，核库存、历史动销和礼品适配。</x:v>
      </x:c>
      <x:c r="H41" s="41" t="str">
        <x:v>2026-03-03 ~ 2026-03-13：建/补广告组，补关键词/ASIN，处理低效流量。</x:v>
      </x:c>
      <x:c r="I41" s="41" t="str">
        <x:v>2026-03-29 ~ 2026-04-18：高库存/高花费SKU每日看，其余2-3天看。</x:v>
      </x:c>
      <x:c r="J41" s="41" t="str">
        <x:f>IF(AND(TODAY()&gt;=$L41,TODAY()&lt;=$M41),"节点进行中",IF(AND(TODAY()&gt;=$R41,TODAY()&lt;=$S41),"高频跟进",IF(AND(TODAY()&gt;=$P41,TODAY()&lt;=$Q41),"二次排查",IF(AND(TODAY()&gt;=$N41,TODAY()&lt;=$O41),"一次排查",IF(TODAY()&lt;$N41,"未到排查",IF(TODAY()&lt;$L41,"等待下一窗口","已过"))))))</x:f>
        <x:v>已过</x:v>
      </x:c>
      <x:c r="K41" s="41" t="str">
        <x:f>IF($J41="节点进行中","今天正在节点/销售窗口内：看销量、库存承接、广告花费、转化和是否需要控投/清尾。",IF($J41="高频跟进","今天在高频跟进窗口：头部SKU每日看；重点看高库存、高花费、断货风险和ACOS。",IF($J41="二次排查","今天在二次排查窗口：补广告结构、关键词/ASIN、预算和Listing埋词。",IF($J41="一次排查","今天在一次排查窗口：先筛SKU，看历史动销、库存、利润和Listing匹配。",IF($J41="未到排查","暂不处理，等一次排查窗口。",IF($J41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1" s="42" t="n">
        <x:v>46124</x:v>
      </x:c>
      <x:c r="M41" s="42" t="n">
        <x:v>46130</x:v>
      </x:c>
      <x:c r="N41" s="42" t="n">
        <x:v>46049</x:v>
      </x:c>
      <x:c r="O41" s="42" t="n">
        <x:v>46064</x:v>
      </x:c>
      <x:c r="P41" s="42" t="n">
        <x:v>46084</x:v>
      </x:c>
      <x:c r="Q41" s="42" t="n">
        <x:v>46094</x:v>
      </x:c>
      <x:c r="R41" s="42" t="n">
        <x:v>46110</x:v>
      </x:c>
      <x:c r="S41" s="42" t="n">
        <x:v>46130</x:v>
      </x:c>
      <x:c r="T41" s="43" t="n">
        <x:f>$L41-TODAY()</x:f>
        <x:v>-25</x:v>
      </x:c>
    </x:row>
    <x:row r="42" ht="42" hidden="0" customHeight="1">
      <x:c r="A42" s="41" t="str">
        <x:v>Telecommunicator Week</x:v>
      </x:c>
      <x:c r="B42" s="41" t="str">
        <x:v>通信调度员周</x:v>
      </x:c>
      <x:c r="C42" s="41" t="str">
        <x:v>与公共安全通信员周高度重合，适合911、dispatch、telecommunicator关键词。</x:v>
      </x:c>
      <x:c r="D42" s="41" t="str">
        <x:v>2026-04-12 ~ 2026-04-18</x:v>
      </x:c>
      <x:c r="E42" s="41" t="str">
        <x:v>每年变动</x:v>
      </x:c>
      <x:c r="F42" s="41" t="str">
        <x:v>911 dispatcher gifts、telecommunicator感谢礼、耳机/调度元素小礼</x:v>
      </x:c>
      <x:c r="G42" s="41" t="str">
        <x:v>2026-01-27 ~ 2026-02-11：按职业词筛SKU，核库存、历史动销和礼品适配。</x:v>
      </x:c>
      <x:c r="H42" s="41" t="str">
        <x:v>2026-03-03 ~ 2026-03-13：建/补广告组，补关键词/ASIN，处理低效流量。</x:v>
      </x:c>
      <x:c r="I42" s="41" t="str">
        <x:v>2026-03-29 ~ 2026-04-18：高库存/高花费SKU每日看，其余2-3天看。</x:v>
      </x:c>
      <x:c r="J42" s="41" t="str">
        <x:f>IF(AND(TODAY()&gt;=$L42,TODAY()&lt;=$M42),"节点进行中",IF(AND(TODAY()&gt;=$R42,TODAY()&lt;=$S42),"高频跟进",IF(AND(TODAY()&gt;=$P42,TODAY()&lt;=$Q42),"二次排查",IF(AND(TODAY()&gt;=$N42,TODAY()&lt;=$O42),"一次排查",IF(TODAY()&lt;$N42,"未到排查",IF(TODAY()&lt;$L42,"等待下一窗口","已过"))))))</x:f>
        <x:v>已过</x:v>
      </x:c>
      <x:c r="K42" s="41" t="str">
        <x:f>IF($J42="节点进行中","今天正在节点/销售窗口内：看销量、库存承接、广告花费、转化和是否需要控投/清尾。",IF($J42="高频跟进","今天在高频跟进窗口：头部SKU每日看；重点看高库存、高花费、断货风险和ACOS。",IF($J42="二次排查","今天在二次排查窗口：补广告结构、关键词/ASIN、预算和Listing埋词。",IF($J42="一次排查","今天在一次排查窗口：先筛SKU，看历史动销、库存、利润和Listing匹配。",IF($J42="未到排查","暂不处理，等一次排查窗口。",IF($J42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2" s="42" t="n">
        <x:v>46124</x:v>
      </x:c>
      <x:c r="M42" s="42" t="n">
        <x:v>46130</x:v>
      </x:c>
      <x:c r="N42" s="42" t="n">
        <x:v>46049</x:v>
      </x:c>
      <x:c r="O42" s="42" t="n">
        <x:v>46064</x:v>
      </x:c>
      <x:c r="P42" s="42" t="n">
        <x:v>46084</x:v>
      </x:c>
      <x:c r="Q42" s="42" t="n">
        <x:v>46094</x:v>
      </x:c>
      <x:c r="R42" s="42" t="n">
        <x:v>46110</x:v>
      </x:c>
      <x:c r="S42" s="42" t="n">
        <x:v>46130</x:v>
      </x:c>
      <x:c r="T42" s="43" t="n">
        <x:f>$L42-TODAY()</x:f>
        <x:v>-25</x:v>
      </x:c>
    </x:row>
    <x:row r="43" ht="42" hidden="0" customHeight="1">
      <x:c r="A43" s="41" t="str">
        <x:v>World Veterinary Day</x:v>
      </x:c>
      <x:c r="B43" s="41" t="str">
        <x:v>世界兽医日</x:v>
      </x:c>
      <x:c r="C43" s="41" t="str">
        <x:v>表彰兽医对动物健康与公共卫生的贡献，适合兽医感谢礼。</x:v>
      </x:c>
      <x:c r="D43" s="41" t="str">
        <x:v>2026-04-25</x:v>
      </x:c>
      <x:c r="E43" s="41" t="str">
        <x:v>每年变动</x:v>
      </x:c>
      <x:c r="F43" s="41" t="str">
        <x:v>public health worker gifts、health awareness cards、团队感谢礼</x:v>
      </x:c>
      <x:c r="G43" s="41" t="str">
        <x:v>2026-02-24 ~ 2026-03-11：先筛匹配SKU、历史销量、库存和利润空间。</x:v>
      </x:c>
      <x:c r="H43" s="41" t="str">
        <x:v>2026-03-26 ~ 2026-04-04：补关键词/ASIN、Listing埋词和广告预算。</x:v>
      </x:c>
      <x:c r="I43" s="41" t="str">
        <x:v>2026-04-11 ~ 2026-04-27：重点SKU每日看，普通SKU每2-3天看。</x:v>
      </x:c>
      <x:c r="J43" s="41" t="str">
        <x:f>IF(AND(TODAY()&gt;=$L43,TODAY()&lt;=$M43),"节点进行中",IF(AND(TODAY()&gt;=$R43,TODAY()&lt;=$S43),"高频跟进",IF(AND(TODAY()&gt;=$P43,TODAY()&lt;=$Q43),"二次排查",IF(AND(TODAY()&gt;=$N43,TODAY()&lt;=$O43),"一次排查",IF(TODAY()&lt;$N43,"未到排查",IF(TODAY()&lt;$L43,"等待下一窗口","已过"))))))</x:f>
        <x:v>已过</x:v>
      </x:c>
      <x:c r="K43" s="41" t="str">
        <x:f>IF($J43="节点进行中","今天正在节点/销售窗口内：看销量、库存承接、广告花费、转化和是否需要控投/清尾。",IF($J43="高频跟进","今天在高频跟进窗口：头部SKU每日看；重点看高库存、高花费、断货风险和ACOS。",IF($J43="二次排查","今天在二次排查窗口：补广告结构、关键词/ASIN、预算和Listing埋词。",IF($J43="一次排查","今天在一次排查窗口：先筛SKU，看历史动销、库存、利润和Listing匹配。",IF($J43="未到排查","暂不处理，等一次排查窗口。",IF($J43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3" s="42" t="n">
        <x:v>46137</x:v>
      </x:c>
      <x:c r="M43" s="42" t="n">
        <x:v>46137</x:v>
      </x:c>
      <x:c r="N43" s="42" t="n">
        <x:v>46077</x:v>
      </x:c>
      <x:c r="O43" s="42" t="n">
        <x:v>46092</x:v>
      </x:c>
      <x:c r="P43" s="42" t="n">
        <x:v>46107</x:v>
      </x:c>
      <x:c r="Q43" s="42" t="n">
        <x:v>46116</x:v>
      </x:c>
      <x:c r="R43" s="42" t="n">
        <x:v>46123</x:v>
      </x:c>
      <x:c r="S43" s="42" t="n">
        <x:v>46139</x:v>
      </x:c>
      <x:c r="T43" s="43" t="n">
        <x:f>$L43-TODAY()</x:f>
        <x:v>-12</x:v>
      </x:c>
    </x:row>
    <x:row r="44" ht="42" hidden="0" customHeight="1">
      <x:c r="A44" s="41" t="str">
        <x:v>Veterinary Receptionist Week</x:v>
      </x:c>
      <x:c r="B44" s="41" t="str">
        <x:v>兽医前台接待员周</x:v>
      </x:c>
      <x:c r="C44" s="41" t="str">
        <x:v>表彰宠物医院前台与客户服务人员，适合vet receptionist礼品。</x:v>
      </x:c>
      <x:c r="D44" s="41" t="str">
        <x:v>2026-04-19 ~ 2026-04-25</x:v>
      </x:c>
      <x:c r="E44" s="41" t="str">
        <x:v>每年变动</x:v>
      </x:c>
      <x:c r="F44" s="41" t="str">
        <x:v>hospital staff gifts、healthcare worker bulk gifts、感谢卡/钥匙扣</x:v>
      </x:c>
      <x:c r="G44" s="41" t="str">
        <x:v>2026-02-03 ~ 2026-02-18：按职业词筛SKU，核库存、历史动销和礼品适配。</x:v>
      </x:c>
      <x:c r="H44" s="41" t="str">
        <x:v>2026-03-10 ~ 2026-03-20：建/补广告组，补关键词/ASIN，处理低效流量。</x:v>
      </x:c>
      <x:c r="I44" s="41" t="str">
        <x:v>2026-04-05 ~ 2026-04-25：高库存/高花费SKU每日看，其余2-3天看。</x:v>
      </x:c>
      <x:c r="J44" s="41" t="str">
        <x:f>IF(AND(TODAY()&gt;=$L44,TODAY()&lt;=$M44),"节点进行中",IF(AND(TODAY()&gt;=$R44,TODAY()&lt;=$S44),"高频跟进",IF(AND(TODAY()&gt;=$P44,TODAY()&lt;=$Q44),"二次排查",IF(AND(TODAY()&gt;=$N44,TODAY()&lt;=$O44),"一次排查",IF(TODAY()&lt;$N44,"未到排查",IF(TODAY()&lt;$L44,"等待下一窗口","已过"))))))</x:f>
        <x:v>已过</x:v>
      </x:c>
      <x:c r="K44" s="41" t="str">
        <x:f>IF($J44="节点进行中","今天正在节点/销售窗口内：看销量、库存承接、广告花费、转化和是否需要控投/清尾。",IF($J44="高频跟进","今天在高频跟进窗口：头部SKU每日看；重点看高库存、高花费、断货风险和ACOS。",IF($J44="二次排查","今天在二次排查窗口：补广告结构、关键词/ASIN、预算和Listing埋词。",IF($J44="一次排查","今天在一次排查窗口：先筛SKU，看历史动销、库存、利润和Listing匹配。",IF($J44="未到排查","暂不处理，等一次排查窗口。",IF($J44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4" s="42" t="n">
        <x:v>46131</x:v>
      </x:c>
      <x:c r="M44" s="42" t="n">
        <x:v>46137</x:v>
      </x:c>
      <x:c r="N44" s="42" t="n">
        <x:v>46056</x:v>
      </x:c>
      <x:c r="O44" s="42" t="n">
        <x:v>46071</x:v>
      </x:c>
      <x:c r="P44" s="42" t="n">
        <x:v>46091</x:v>
      </x:c>
      <x:c r="Q44" s="42" t="n">
        <x:v>46101</x:v>
      </x:c>
      <x:c r="R44" s="42" t="n">
        <x:v>46117</x:v>
      </x:c>
      <x:c r="S44" s="42" t="n">
        <x:v>46137</x:v>
      </x:c>
      <x:c r="T44" s="43" t="n">
        <x:f>$L44-TODAY()</x:f>
        <x:v>-18</x:v>
      </x:c>
    </x:row>
    <x:row r="45" ht="42" hidden="0" customHeight="1">
      <x:c r="A45" s="41" t="str">
        <x:v>National Counselor Recognition Day</x:v>
      </x:c>
      <x:c r="B45" s="41" t="str">
        <x:v>咨询师表彰日</x:v>
      </x:c>
      <x:c r="C45" s="41" t="str">
        <x:v>感谢心理咨询师、学校辅导员等支持性岗位，适合counselor礼品。</x:v>
      </x:c>
      <x:c r="D45" s="41" t="str">
        <x:v>2026-04-22</x:v>
      </x:c>
      <x:c r="E45" s="41" t="str">
        <x:v>口径需复核：按截图口径</x:v>
      </x:c>
      <x:c r="F45" s="41" t="str">
        <x:v>school counselor gifts、counselor感谢卡、办公室桌面小礼</x:v>
      </x:c>
      <x:c r="G45" s="41" t="str">
        <x:v>2026-02-21 ~ 2026-03-08：先筛匹配SKU、历史销量、库存和利润空间。</x:v>
      </x:c>
      <x:c r="H45" s="41" t="str">
        <x:v>2026-03-23 ~ 2026-04-01：补关键词/ASIN、Listing埋词和广告预算。</x:v>
      </x:c>
      <x:c r="I45" s="41" t="str">
        <x:v>2026-04-08 ~ 2026-04-24：重点SKU每日看，普通SKU每2-3天看。</x:v>
      </x:c>
      <x:c r="J45" s="41" t="str">
        <x:f>IF(AND(TODAY()&gt;=$L45,TODAY()&lt;=$M45),"节点进行中",IF(AND(TODAY()&gt;=$R45,TODAY()&lt;=$S45),"高频跟进",IF(AND(TODAY()&gt;=$P45,TODAY()&lt;=$Q45),"二次排查",IF(AND(TODAY()&gt;=$N45,TODAY()&lt;=$O45),"一次排查",IF(TODAY()&lt;$N45,"未到排查",IF(TODAY()&lt;$L45,"等待下一窗口","已过"))))))</x:f>
        <x:v>已过</x:v>
      </x:c>
      <x:c r="K45" s="41" t="str">
        <x:f>IF($J45="节点进行中","今天正在节点/销售窗口内：看销量、库存承接、广告花费、转化和是否需要控投/清尾。",IF($J45="高频跟进","今天在高频跟进窗口：头部SKU每日看；重点看高库存、高花费、断货风险和ACOS。",IF($J45="二次排查","今天在二次排查窗口：补广告结构、关键词/ASIN、预算和Listing埋词。",IF($J45="一次排查","今天在一次排查窗口：先筛SKU，看历史动销、库存、利润和Listing匹配。",IF($J45="未到排查","暂不处理，等一次排查窗口。",IF($J45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5" s="42" t="n">
        <x:v>46134</x:v>
      </x:c>
      <x:c r="M45" s="42" t="n">
        <x:v>46134</x:v>
      </x:c>
      <x:c r="N45" s="42" t="n">
        <x:v>46074</x:v>
      </x:c>
      <x:c r="O45" s="42" t="n">
        <x:v>46089</x:v>
      </x:c>
      <x:c r="P45" s="42" t="n">
        <x:v>46104</x:v>
      </x:c>
      <x:c r="Q45" s="42" t="n">
        <x:v>46113</x:v>
      </x:c>
      <x:c r="R45" s="42" t="n">
        <x:v>46120</x:v>
      </x:c>
      <x:c r="S45" s="42" t="n">
        <x:v>46136</x:v>
      </x:c>
      <x:c r="T45" s="43" t="n">
        <x:f>$L45-TODAY()</x:f>
        <x:v>-15</x:v>
      </x:c>
    </x:row>
    <x:row r="46" ht="42" hidden="0" customHeight="1">
      <x:c r="A46" s="41" t="str">
        <x:v>Easter</x:v>
      </x:c>
      <x:c r="B46" s="41" t="str">
        <x:v>复活节</x:v>
      </x:c>
      <x:c r="C46" s="41" t="str">
        <x:v>美国春季核心节日，带动宗教、兔子、彩蛋、篮子、教堂礼品等需求。</x:v>
      </x:c>
      <x:c r="D46" s="41" t="str">
        <x:v>2026-04-05</x:v>
      </x:c>
      <x:c r="E46" s="41" t="str">
        <x:v>每年变动</x:v>
      </x:c>
      <x:c r="F46" s="41" t="str">
        <x:v>Easter basket fillers、Christian Easter gifts、兔子/鸡蛋装饰、教会礼品</x:v>
      </x:c>
      <x:c r="G46" s="41" t="str">
        <x:v>2025-12-06 ~ 2026-01-05：先看历史销量、库存/FBA承接、是否需要改Listing。</x:v>
      </x:c>
      <x:c r="H46" s="41" t="str">
        <x:v>2026-02-04 ~ 2026-02-19：广告结构、关键词/ASIN、标题主图必须基本到位。</x:v>
      </x:c>
      <x:c r="I46" s="41" t="str">
        <x:v>2026-03-15 ~ 2026-04-08：头部SKU每日看，过后及时降投/清尾。</x:v>
      </x:c>
      <x:c r="J46" s="41" t="str">
        <x:f>IF(AND(TODAY()&gt;=$L46,TODAY()&lt;=$M46),"节点进行中",IF(AND(TODAY()&gt;=$R46,TODAY()&lt;=$S46),"高频跟进",IF(AND(TODAY()&gt;=$P46,TODAY()&lt;=$Q46),"二次排查",IF(AND(TODAY()&gt;=$N46,TODAY()&lt;=$O46),"一次排查",IF(TODAY()&lt;$N46,"未到排查",IF(TODAY()&lt;$L46,"等待下一窗口","已过"))))))</x:f>
        <x:v>已过</x:v>
      </x:c>
      <x:c r="K46" s="41" t="str">
        <x:f>IF($J46="节点进行中","今天正在节点/销售窗口内：看销量、库存承接、广告花费、转化和是否需要控投/清尾。",IF($J46="高频跟进","今天在高频跟进窗口：头部SKU每日看；重点看高库存、高花费、断货风险和ACOS。",IF($J46="二次排查","今天在二次排查窗口：补广告结构、关键词/ASIN、预算和Listing埋词。",IF($J46="一次排查","今天在一次排查窗口：先筛SKU，看历史动销、库存、利润和Listing匹配。",IF($J46="未到排查","暂不处理，等一次排查窗口。",IF($J46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6" s="42" t="n">
        <x:v>46117</x:v>
      </x:c>
      <x:c r="M46" s="42" t="n">
        <x:v>46117</x:v>
      </x:c>
      <x:c r="N46" s="42" t="n">
        <x:v>45997</x:v>
      </x:c>
      <x:c r="O46" s="42" t="n">
        <x:v>46027</x:v>
      </x:c>
      <x:c r="P46" s="42" t="n">
        <x:v>46057</x:v>
      </x:c>
      <x:c r="Q46" s="42" t="n">
        <x:v>46072</x:v>
      </x:c>
      <x:c r="R46" s="42" t="n">
        <x:v>46096</x:v>
      </x:c>
      <x:c r="S46" s="42" t="n">
        <x:v>46120</x:v>
      </x:c>
      <x:c r="T46" s="43" t="n">
        <x:f>$L46-TODAY()</x:f>
        <x:v>-32</x:v>
      </x:c>
    </x:row>
    <x:row r="47" ht="42" hidden="0" customHeight="1">
      <x:c r="A47" s="41" t="str">
        <x:v>Passover</x:v>
      </x:c>
      <x:c r="B47" s="41" t="str">
        <x:v>逾越节</x:v>
      </x:c>
      <x:c r="C47" s="41" t="str">
        <x:v>犹太教重要节日，适合犹太文化礼品、餐桌用品和节日装饰。</x:v>
      </x:c>
      <x:c r="D47" s="41" t="str">
        <x:v>2026-04-01 ~ 2026-04-09</x:v>
      </x:c>
      <x:c r="E47" s="41" t="str">
        <x:v>每年变动：按2026年日落起止口径</x:v>
      </x:c>
      <x:c r="F47" s="41" t="str">
        <x:v>Passover礼品、Seder餐桌用品、犹太节日卡片/装饰</x:v>
      </x:c>
      <x:c r="G47" s="41" t="str">
        <x:v>2026-01-31 ~ 2026-02-15：先筛匹配SKU、历史销量、库存和利润空间。</x:v>
      </x:c>
      <x:c r="H47" s="41" t="str">
        <x:v>2026-03-02 ~ 2026-03-11：补关键词/ASIN、Listing埋词和广告预算。</x:v>
      </x:c>
      <x:c r="I47" s="41" t="str">
        <x:v>2026-03-18 ~ 2026-04-11：重点SKU每日看，普通SKU每2-3天看。</x:v>
      </x:c>
      <x:c r="J47" s="41" t="str">
        <x:f>IF(AND(TODAY()&gt;=$L47,TODAY()&lt;=$M47),"节点进行中",IF(AND(TODAY()&gt;=$R47,TODAY()&lt;=$S47),"高频跟进",IF(AND(TODAY()&gt;=$P47,TODAY()&lt;=$Q47),"二次排查",IF(AND(TODAY()&gt;=$N47,TODAY()&lt;=$O47),"一次排查",IF(TODAY()&lt;$N47,"未到排查",IF(TODAY()&lt;$L47,"等待下一窗口","已过"))))))</x:f>
        <x:v>已过</x:v>
      </x:c>
      <x:c r="K47" s="41" t="str">
        <x:f>IF($J47="节点进行中","今天正在节点/销售窗口内：看销量、库存承接、广告花费、转化和是否需要控投/清尾。",IF($J47="高频跟进","今天在高频跟进窗口：头部SKU每日看；重点看高库存、高花费、断货风险和ACOS。",IF($J47="二次排查","今天在二次排查窗口：补广告结构、关键词/ASIN、预算和Listing埋词。",IF($J47="一次排查","今天在一次排查窗口：先筛SKU，看历史动销、库存、利润和Listing匹配。",IF($J47="未到排查","暂不处理，等一次排查窗口。",IF($J47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47" s="42" t="n">
        <x:v>46113</x:v>
      </x:c>
      <x:c r="M47" s="42" t="n">
        <x:v>46121</x:v>
      </x:c>
      <x:c r="N47" s="42" t="n">
        <x:v>46053</x:v>
      </x:c>
      <x:c r="O47" s="42" t="n">
        <x:v>46068</x:v>
      </x:c>
      <x:c r="P47" s="42" t="n">
        <x:v>46083</x:v>
      </x:c>
      <x:c r="Q47" s="42" t="n">
        <x:v>46092</x:v>
      </x:c>
      <x:c r="R47" s="42" t="n">
        <x:v>46099</x:v>
      </x:c>
      <x:c r="S47" s="42" t="n">
        <x:v>46123</x:v>
      </x:c>
      <x:c r="T47" s="43" t="n">
        <x:f>$L47-TODAY()</x:f>
        <x:v>-36</x:v>
      </x:c>
    </x:row>
    <x:row r="48" ht="42" hidden="0" customHeight="1">
      <x:c r="A48" s="41" t="str">
        <x:v>Graduation Season</x:v>
      </x:c>
      <x:c r="B48" s="41" t="str">
        <x:v>毕业季</x:v>
      </x:c>
      <x:c r="C48" s="41" t="str">
        <x:v>毕业礼、老师礼、同学礼和party用品高峰，适合gift set和卡片类产品。</x:v>
      </x:c>
      <x:c r="D48" s="41" t="str">
        <x:v>2026-04-01 ~ 2026-06-15</x:v>
      </x:c>
      <x:c r="E48" s="41" t="str">
        <x:v>区间变动：按学校毕业季取常用窗口</x:v>
      </x:c>
      <x:c r="F48" s="41" t="str">
        <x:v>毕业礼、class of 2026、毕业钥匙扣/手链/卡片/书签</x:v>
      </x:c>
      <x:c r="G48" s="41" t="str">
        <x:v>2026-01-01 ~ 2026-01-15：看历史动销起点、库存承接、Listing是否匹配。</x:v>
      </x:c>
      <x:c r="H48" s="41" t="str">
        <x:v>2026-02-15 ~ 2026-03-01：完成关键词/ASIN/主图标题检查，低预算轻测。</x:v>
      </x:c>
      <x:c r="I48" s="41" t="str">
        <x:v>2026-03-18 ~ 2026-05-08：头部SKU每日看，普通SKU每周2次。</x:v>
      </x:c>
      <x:c r="J48" s="41" t="str">
        <x:f>IF(AND(TODAY()&gt;=$L48,TODAY()&lt;=$M48),"节点进行中",IF(AND(TODAY()&gt;=$R48,TODAY()&lt;=$S48),"高频跟进",IF(AND(TODAY()&gt;=$P48,TODAY()&lt;=$Q48),"二次排查",IF(AND(TODAY()&gt;=$N48,TODAY()&lt;=$O48),"一次排查",IF(TODAY()&lt;$N48,"未到排查",IF(TODAY()&lt;$L48,"等待下一窗口","已过"))))))</x:f>
        <x:v>节点进行中</x:v>
      </x:c>
      <x:c r="K48" s="41" t="str">
        <x:f>IF($J48="节点进行中","今天正在节点/销售窗口内：看销量、库存承接、广告花费、转化和是否需要控投/清尾。",IF($J48="高频跟进","今天在高频跟进窗口：头部SKU每日看；重点看高库存、高花费、断货风险和ACOS。",IF($J48="二次排查","今天在二次排查窗口：补广告结构、关键词/ASIN、预算和Listing埋词。",IF($J48="一次排查","今天在一次排查窗口：先筛SKU，看历史动销、库存、利润和Listing匹配。",IF($J48="未到排查","暂不处理，等一次排查窗口。",IF($J48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48" s="42" t="n">
        <x:v>46113</x:v>
      </x:c>
      <x:c r="M48" s="42" t="n">
        <x:v>46188</x:v>
      </x:c>
      <x:c r="N48" s="42" t="n">
        <x:v>46023</x:v>
      </x:c>
      <x:c r="O48" s="42" t="n">
        <x:v>46037</x:v>
      </x:c>
      <x:c r="P48" s="42" t="n">
        <x:v>46068</x:v>
      </x:c>
      <x:c r="Q48" s="42" t="n">
        <x:v>46082</x:v>
      </x:c>
      <x:c r="R48" s="42" t="n">
        <x:v>46099</x:v>
      </x:c>
      <x:c r="S48" s="42" t="n">
        <x:v>46150</x:v>
      </x:c>
      <x:c r="T48" s="43" t="n">
        <x:f>$L48-TODAY()</x:f>
        <x:v>-36</x:v>
      </x:c>
    </x:row>
    <x:row r="49" ht="42" hidden="0" customHeight="1">
      <x:c r="A49" s="41" t="str">
        <x:v>Prom Season</x:v>
      </x:c>
      <x:c r="B49" s="41" t="str">
        <x:v>毕业舞会季</x:v>
      </x:c>
      <x:c r="C49" s="41" t="str">
        <x:v>高中毕业舞会相关装饰、饰品、纪念品需求窗口。</x:v>
      </x:c>
      <x:c r="D49" s="41" t="str">
        <x:v>2026-03-01 ~ 2026-05-31</x:v>
      </x:c>
      <x:c r="E49" s="41" t="str">
        <x:v>区间变动：按学校舞会季取常用窗口</x:v>
      </x:c>
      <x:c r="F49" s="41" t="str">
        <x:v>毕业礼、class of 2026、毕业钥匙扣/手链/卡片/书签</x:v>
      </x:c>
      <x:c r="G49" s="41" t="str">
        <x:v>2025-12-01 ~ 2025-12-15：看历史动销起点、库存承接、Listing是否匹配。</x:v>
      </x:c>
      <x:c r="H49" s="41" t="str">
        <x:v>2026-01-15 ~ 2026-01-29：完成关键词/ASIN/主图标题检查，低预算轻测。</x:v>
      </x:c>
      <x:c r="I49" s="41" t="str">
        <x:v>2026-02-15 ~ 2026-04-15：头部SKU每日看，普通SKU每周2次。</x:v>
      </x:c>
      <x:c r="J49" s="41" t="str">
        <x:f>IF(AND(TODAY()&gt;=$L49,TODAY()&lt;=$M49),"节点进行中",IF(AND(TODAY()&gt;=$R49,TODAY()&lt;=$S49),"高频跟进",IF(AND(TODAY()&gt;=$P49,TODAY()&lt;=$Q49),"二次排查",IF(AND(TODAY()&gt;=$N49,TODAY()&lt;=$O49),"一次排查",IF(TODAY()&lt;$N49,"未到排查",IF(TODAY()&lt;$L49,"等待下一窗口","已过"))))))</x:f>
        <x:v>节点进行中</x:v>
      </x:c>
      <x:c r="K49" s="41" t="str">
        <x:f>IF($J49="节点进行中","今天正在节点/销售窗口内：看销量、库存承接、广告花费、转化和是否需要控投/清尾。",IF($J49="高频跟进","今天在高频跟进窗口：头部SKU每日看；重点看高库存、高花费、断货风险和ACOS。",IF($J49="二次排查","今天在二次排查窗口：补广告结构、关键词/ASIN、预算和Listing埋词。",IF($J49="一次排查","今天在一次排查窗口：先筛SKU，看历史动销、库存、利润和Listing匹配。",IF($J49="未到排查","暂不处理，等一次排查窗口。",IF($J49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49" s="42" t="n">
        <x:v>46082</x:v>
      </x:c>
      <x:c r="M49" s="42" t="n">
        <x:v>46173</x:v>
      </x:c>
      <x:c r="N49" s="42" t="n">
        <x:v>45992</x:v>
      </x:c>
      <x:c r="O49" s="42" t="n">
        <x:v>46006</x:v>
      </x:c>
      <x:c r="P49" s="42" t="n">
        <x:v>46037</x:v>
      </x:c>
      <x:c r="Q49" s="42" t="n">
        <x:v>46051</x:v>
      </x:c>
      <x:c r="R49" s="42" t="n">
        <x:v>46068</x:v>
      </x:c>
      <x:c r="S49" s="42" t="n">
        <x:v>46127</x:v>
      </x:c>
      <x:c r="T49" s="43" t="n">
        <x:f>$L49-TODAY()</x:f>
        <x:v>-67</x:v>
      </x:c>
    </x:row>
    <x:row r="50" ht="42" hidden="0" customHeight="1">
      <x:c r="A50" s="41" t="str">
        <x:v>Mental Health Awareness Month</x:v>
      </x:c>
      <x:c r="B50" s="41" t="str">
        <x:v>心理健康意识月</x:v>
      </x:c>
      <x:c r="C50" s="41" t="str">
        <x:v>关注心理健康与情绪支持，适合支持类礼品、affirmation、comfort主题。</x:v>
      </x:c>
      <x:c r="D50" s="41" t="str">
        <x:v>2026-05-01 ~ 2026-05-31</x:v>
      </x:c>
      <x:c r="E50" s="41" t="str">
        <x:v>固定月份</x:v>
      </x:c>
      <x:c r="F50" s="41" t="str">
        <x:v>意识/支持类产品：丝带、手链、鼓励卡、贴纸；敏感节点商业化要克制</x:v>
      </x:c>
      <x:c r="G50" s="41" t="str">
        <x:v>2026-01-31 ~ 2026-02-15：先确认产品真实匹配，避免硬蹭敏感议题。</x:v>
      </x:c>
      <x:c r="H50" s="41" t="str">
        <x:v>2026-03-17 ~ 2026-03-27：检查图片/文案/关键词是否克制且合规。</x:v>
      </x:c>
      <x:c r="I50" s="41" t="str">
        <x:v>2026-04-17 ~ 2026-05-16：每2-3天看；表现差或表达风险高就停。</x:v>
      </x:c>
      <x:c r="J50" s="41" t="str">
        <x:f>IF(AND(TODAY()&gt;=$L50,TODAY()&lt;=$M50),"节点进行中",IF(AND(TODAY()&gt;=$R50,TODAY()&lt;=$S50),"高频跟进",IF(AND(TODAY()&gt;=$P50,TODAY()&lt;=$Q50),"二次排查",IF(AND(TODAY()&gt;=$N50,TODAY()&lt;=$O50),"一次排查",IF(TODAY()&lt;$N50,"未到排查",IF(TODAY()&lt;$L50,"等待下一窗口","已过"))))))</x:f>
        <x:v>节点进行中</x:v>
      </x:c>
      <x:c r="K50" s="41" t="str">
        <x:f>IF($J50="节点进行中","今天正在节点/销售窗口内：看销量、库存承接、广告花费、转化和是否需要控投/清尾。",IF($J50="高频跟进","今天在高频跟进窗口：头部SKU每日看；重点看高库存、高花费、断货风险和ACOS。",IF($J50="二次排查","今天在二次排查窗口：补广告结构、关键词/ASIN、预算和Listing埋词。",IF($J50="一次排查","今天在一次排查窗口：先筛SKU，看历史动销、库存、利润和Listing匹配。",IF($J50="未到排查","暂不处理，等一次排查窗口。",IF($J50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50" s="42" t="n">
        <x:v>46143</x:v>
      </x:c>
      <x:c r="M50" s="42" t="n">
        <x:v>46173</x:v>
      </x:c>
      <x:c r="N50" s="42" t="n">
        <x:v>46053</x:v>
      </x:c>
      <x:c r="O50" s="42" t="n">
        <x:v>46068</x:v>
      </x:c>
      <x:c r="P50" s="42" t="n">
        <x:v>46098</x:v>
      </x:c>
      <x:c r="Q50" s="42" t="n">
        <x:v>46108</x:v>
      </x:c>
      <x:c r="R50" s="42" t="n">
        <x:v>46129</x:v>
      </x:c>
      <x:c r="S50" s="42" t="n">
        <x:v>46158</x:v>
      </x:c>
      <x:c r="T50" s="43" t="n">
        <x:f>$L50-TODAY()</x:f>
        <x:v>-6</x:v>
      </x:c>
    </x:row>
    <x:row r="51" ht="42" hidden="0" customHeight="1">
      <x:c r="A51" s="41" t="str">
        <x:v>National Speech-Language-Hearing Month</x:v>
      </x:c>
      <x:c r="B51" s="41" t="str">
        <x:v>言语语言听力月</x:v>
      </x:c>
      <x:c r="C51" s="41" t="str">
        <x:v>关注语言、听力、沟通障碍及相关专业人员，适合SLP/audiologist礼品。</x:v>
      </x:c>
      <x:c r="D51" s="41" t="str">
        <x:v>2026-05-01 ~ 2026-05-31</x:v>
      </x:c>
      <x:c r="E51" s="41" t="str">
        <x:v>固定月份</x:v>
      </x:c>
      <x:c r="F51" s="41" t="str">
        <x:v>SLP/audiologist gifts、speech therapy感谢礼、办公室小礼</x:v>
      </x:c>
      <x:c r="G51" s="41" t="str">
        <x:v>2026-01-31 ~ 2026-02-15：筛对应SKU、查历史销量/库存/利润空间。</x:v>
      </x:c>
      <x:c r="H51" s="41" t="str">
        <x:v>2026-03-17 ~ 2026-03-27：补广告结构、关键词和Listing埋词。</x:v>
      </x:c>
      <x:c r="I51" s="41" t="str">
        <x:v>2026-04-17 ~ 2026-04-24：重点SKU每日或隔日看，长尾每周2次。</x:v>
      </x:c>
      <x:c r="J51" s="41" t="str">
        <x:f>IF(AND(TODAY()&gt;=$L51,TODAY()&lt;=$M51),"节点进行中",IF(AND(TODAY()&gt;=$R51,TODAY()&lt;=$S51),"高频跟进",IF(AND(TODAY()&gt;=$P51,TODAY()&lt;=$Q51),"二次排查",IF(AND(TODAY()&gt;=$N51,TODAY()&lt;=$O51),"一次排查",IF(TODAY()&lt;$N51,"未到排查",IF(TODAY()&lt;$L51,"等待下一窗口","已过"))))))</x:f>
        <x:v>节点进行中</x:v>
      </x:c>
      <x:c r="K51" s="41" t="str">
        <x:f>IF($J51="节点进行中","今天正在节点/销售窗口内：看销量、库存承接、广告花费、转化和是否需要控投/清尾。",IF($J51="高频跟进","今天在高频跟进窗口：头部SKU每日看；重点看高库存、高花费、断货风险和ACOS。",IF($J51="二次排查","今天在二次排查窗口：补广告结构、关键词/ASIN、预算和Listing埋词。",IF($J51="一次排查","今天在一次排查窗口：先筛SKU，看历史动销、库存、利润和Listing匹配。",IF($J51="未到排查","暂不处理，等一次排查窗口。",IF($J51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51" s="42" t="n">
        <x:v>46143</x:v>
      </x:c>
      <x:c r="M51" s="42" t="n">
        <x:v>46173</x:v>
      </x:c>
      <x:c r="N51" s="42" t="n">
        <x:v>46053</x:v>
      </x:c>
      <x:c r="O51" s="42" t="n">
        <x:v>46068</x:v>
      </x:c>
      <x:c r="P51" s="42" t="n">
        <x:v>46098</x:v>
      </x:c>
      <x:c r="Q51" s="42" t="n">
        <x:v>46108</x:v>
      </x:c>
      <x:c r="R51" s="42" t="n">
        <x:v>46129</x:v>
      </x:c>
      <x:c r="S51" s="42" t="n">
        <x:v>46136</x:v>
      </x:c>
      <x:c r="T51" s="43" t="n">
        <x:f>$L51-TODAY()</x:f>
        <x:v>-6</x:v>
      </x:c>
    </x:row>
    <x:row r="52" ht="42" hidden="0" customHeight="1">
      <x:c r="A52" s="41" t="str">
        <x:v>School Lunch Hero Day</x:v>
      </x:c>
      <x:c r="B52" s="41" t="str">
        <x:v>学校午餐英雄日</x:v>
      </x:c>
      <x:c r="C52" s="41" t="str">
        <x:v>感谢学校食堂与午餐服务人员，适合lunch lady/food service礼品。</x:v>
      </x:c>
      <x:c r="D52" s="41" t="str">
        <x:v>2026-05-01</x:v>
      </x:c>
      <x:c r="E52" s="41" t="str">
        <x:v>每年变动</x:v>
      </x:c>
      <x:c r="F52" s="41" t="str">
        <x:v>lunch lady gifts、school staff感谢卡、餐饮员工小礼</x:v>
      </x:c>
      <x:c r="G52" s="41" t="str">
        <x:v>2026-03-02 ~ 2026-03-17：先筛匹配SKU、历史销量、库存和利润空间。</x:v>
      </x:c>
      <x:c r="H52" s="41" t="str">
        <x:v>2026-04-01 ~ 2026-04-10：补关键词/ASIN、Listing埋词和广告预算。</x:v>
      </x:c>
      <x:c r="I52" s="41" t="str">
        <x:v>2026-04-17 ~ 2026-05-03：重点SKU每日看，普通SKU每2-3天看。</x:v>
      </x:c>
      <x:c r="J52" s="41" t="str">
        <x:f>IF(AND(TODAY()&gt;=$L52,TODAY()&lt;=$M52),"节点进行中",IF(AND(TODAY()&gt;=$R52,TODAY()&lt;=$S52),"高频跟进",IF(AND(TODAY()&gt;=$P52,TODAY()&lt;=$Q52),"二次排查",IF(AND(TODAY()&gt;=$N52,TODAY()&lt;=$O52),"一次排查",IF(TODAY()&lt;$N52,"未到排查",IF(TODAY()&lt;$L52,"等待下一窗口","已过"))))))</x:f>
        <x:v>已过</x:v>
      </x:c>
      <x:c r="K52" s="41" t="str">
        <x:f>IF($J52="节点进行中","今天正在节点/销售窗口内：看销量、库存承接、广告花费、转化和是否需要控投/清尾。",IF($J52="高频跟进","今天在高频跟进窗口：头部SKU每日看；重点看高库存、高花费、断货风险和ACOS。",IF($J52="二次排查","今天在二次排查窗口：补广告结构、关键词/ASIN、预算和Listing埋词。",IF($J52="一次排查","今天在一次排查窗口：先筛SKU，看历史动销、库存、利润和Listing匹配。",IF($J52="未到排查","暂不处理，等一次排查窗口。",IF($J52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52" s="42" t="n">
        <x:v>46143</x:v>
      </x:c>
      <x:c r="M52" s="42" t="n">
        <x:v>46143</x:v>
      </x:c>
      <x:c r="N52" s="42" t="n">
        <x:v>46083</x:v>
      </x:c>
      <x:c r="O52" s="42" t="n">
        <x:v>46098</x:v>
      </x:c>
      <x:c r="P52" s="42" t="n">
        <x:v>46113</x:v>
      </x:c>
      <x:c r="Q52" s="42" t="n">
        <x:v>46122</x:v>
      </x:c>
      <x:c r="R52" s="42" t="n">
        <x:v>46129</x:v>
      </x:c>
      <x:c r="S52" s="42" t="n">
        <x:v>46145</x:v>
      </x:c>
      <x:c r="T52" s="43" t="n">
        <x:f>$L52-TODAY()</x:f>
        <x:v>-6</x:v>
      </x:c>
    </x:row>
    <x:row r="53" ht="42" hidden="0" customHeight="1">
      <x:c r="A53" s="41" t="str">
        <x:v>Teacher Appreciation Week</x:v>
      </x:c>
      <x:c r="B53" s="41" t="str">
        <x:v>教师感谢周</x:v>
      </x:c>
      <x:c r="C53" s="41" t="str">
        <x:v>美国教师礼品重要窗口，适合老师杯、卡片、挂件、批量小礼品。</x:v>
      </x:c>
      <x:c r="D53" s="41" t="str">
        <x:v>2026-05-04 ~ 2026-05-08</x:v>
      </x:c>
      <x:c r="E53" s="41" t="str">
        <x:v>每年变动</x:v>
      </x:c>
      <x:c r="F53" s="41" t="str">
        <x:v>teacher gifts、staff appreciation bulk gifts、书签/手链/感谢卡</x:v>
      </x:c>
      <x:c r="G53" s="41" t="str">
        <x:v>2026-02-18 ~ 2026-03-05：按职业词筛SKU，核库存、历史动销和礼品适配。</x:v>
      </x:c>
      <x:c r="H53" s="41" t="str">
        <x:v>2026-03-25 ~ 2026-04-04：建/补广告组，补关键词/ASIN，处理低效流量。</x:v>
      </x:c>
      <x:c r="I53" s="41" t="str">
        <x:v>2026-04-20 ~ 2026-05-08：高库存/高花费SKU每日看，其余2-3天看。</x:v>
      </x:c>
      <x:c r="J53" s="41" t="str">
        <x:f>IF(AND(TODAY()&gt;=$L53,TODAY()&lt;=$M53),"节点进行中",IF(AND(TODAY()&gt;=$R53,TODAY()&lt;=$S53),"高频跟进",IF(AND(TODAY()&gt;=$P53,TODAY()&lt;=$Q53),"二次排查",IF(AND(TODAY()&gt;=$N53,TODAY()&lt;=$O53),"一次排查",IF(TODAY()&lt;$N53,"未到排查",IF(TODAY()&lt;$L53,"等待下一窗口","已过"))))))</x:f>
        <x:v>节点进行中</x:v>
      </x:c>
      <x:c r="K53" s="41" t="str">
        <x:f>IF($J53="节点进行中","今天正在节点/销售窗口内：看销量、库存承接、广告花费、转化和是否需要控投/清尾。",IF($J53="高频跟进","今天在高频跟进窗口：头部SKU每日看；重点看高库存、高花费、断货风险和ACOS。",IF($J53="二次排查","今天在二次排查窗口：补广告结构、关键词/ASIN、预算和Listing埋词。",IF($J53="一次排查","今天在一次排查窗口：先筛SKU，看历史动销、库存、利润和Listing匹配。",IF($J53="未到排查","暂不处理，等一次排查窗口。",IF($J53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53" s="42" t="n">
        <x:v>46146</x:v>
      </x:c>
      <x:c r="M53" s="42" t="n">
        <x:v>46150</x:v>
      </x:c>
      <x:c r="N53" s="42" t="n">
        <x:v>46071</x:v>
      </x:c>
      <x:c r="O53" s="42" t="n">
        <x:v>46086</x:v>
      </x:c>
      <x:c r="P53" s="42" t="n">
        <x:v>46106</x:v>
      </x:c>
      <x:c r="Q53" s="42" t="n">
        <x:v>46116</x:v>
      </x:c>
      <x:c r="R53" s="42" t="n">
        <x:v>46132</x:v>
      </x:c>
      <x:c r="S53" s="42" t="n">
        <x:v>46150</x:v>
      </x:c>
      <x:c r="T53" s="43" t="n">
        <x:f>$L53-TODAY()</x:f>
        <x:v>-3</x:v>
      </x:c>
    </x:row>
    <x:row r="54" ht="42" hidden="0" customHeight="1">
      <x:c r="A54" s="41" t="str">
        <x:v>Teacher Appreciation Day / National Teacher Day</x:v>
      </x:c>
      <x:c r="B54" s="41" t="str">
        <x:v>教师感谢日/全国教师日</x:v>
      </x:c>
      <x:c r="C54" s="41" t="str">
        <x:v>教师感谢周内的核心单日，适合teacher gift关键词。</x:v>
      </x:c>
      <x:c r="D54" s="41" t="str">
        <x:v>2026-05-05</x:v>
      </x:c>
      <x:c r="E54" s="41" t="str">
        <x:v>每年变动</x:v>
      </x:c>
      <x:c r="F54" s="41" t="str">
        <x:v>teacher gifts、staff appreciation bulk gifts、书签/手链/感谢卡</x:v>
      </x:c>
      <x:c r="G54" s="41" t="str">
        <x:v>2026-03-06 ~ 2026-03-21：先筛匹配SKU、历史销量、库存和利润空间。</x:v>
      </x:c>
      <x:c r="H54" s="41" t="str">
        <x:v>2026-04-05 ~ 2026-04-14：补关键词/ASIN、Listing埋词和广告预算。</x:v>
      </x:c>
      <x:c r="I54" s="41" t="str">
        <x:v>2026-04-21 ~ 2026-05-07：重点SKU每日看，普通SKU每2-3天看。</x:v>
      </x:c>
      <x:c r="J54" s="41" t="str">
        <x:f>IF(AND(TODAY()&gt;=$L54,TODAY()&lt;=$M54),"节点进行中",IF(AND(TODAY()&gt;=$R54,TODAY()&lt;=$S54),"高频跟进",IF(AND(TODAY()&gt;=$P54,TODAY()&lt;=$Q54),"二次排查",IF(AND(TODAY()&gt;=$N54,TODAY()&lt;=$O54),"一次排查",IF(TODAY()&lt;$N54,"未到排查",IF(TODAY()&lt;$L54,"等待下一窗口","已过"))))))</x:f>
        <x:v>高频跟进</x:v>
      </x:c>
      <x:c r="K54" s="41" t="str">
        <x:f>IF($J54="节点进行中","今天正在节点/销售窗口内：看销量、库存承接、广告花费、转化和是否需要控投/清尾。",IF($J54="高频跟进","今天在高频跟进窗口：头部SKU每日看；重点看高库存、高花费、断货风险和ACOS。",IF($J54="二次排查","今天在二次排查窗口：补广告结构、关键词/ASIN、预算和Listing埋词。",IF($J54="一次排查","今天在一次排查窗口：先筛SKU，看历史动销、库存、利润和Listing匹配。",IF($J54="未到排查","暂不处理，等一次排查窗口。",IF($J54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54" s="42" t="n">
        <x:v>46147</x:v>
      </x:c>
      <x:c r="M54" s="42" t="n">
        <x:v>46147</x:v>
      </x:c>
      <x:c r="N54" s="42" t="n">
        <x:v>46087</x:v>
      </x:c>
      <x:c r="O54" s="42" t="n">
        <x:v>46102</x:v>
      </x:c>
      <x:c r="P54" s="42" t="n">
        <x:v>46117</x:v>
      </x:c>
      <x:c r="Q54" s="42" t="n">
        <x:v>46126</x:v>
      </x:c>
      <x:c r="R54" s="42" t="n">
        <x:v>46133</x:v>
      </x:c>
      <x:c r="S54" s="42" t="n">
        <x:v>46149</x:v>
      </x:c>
      <x:c r="T54" s="43" t="n">
        <x:f>$L54-TODAY()</x:f>
        <x:v>-2</x:v>
      </x:c>
    </x:row>
    <x:row r="55" ht="42" hidden="0" customHeight="1">
      <x:c r="A55" s="41" t="str">
        <x:v>Cinco de Mayo</x:v>
      </x:c>
      <x:c r="B55" s="41" t="str">
        <x:v>五月五日节/普埃布拉战役纪念日</x:v>
      </x:c>
      <x:c r="C55" s="41" t="str">
        <x:v>纪念墨西哥军队1862年普埃布拉战役胜利，在美国常用于墨西哥文化与派对场景。</x:v>
      </x:c>
      <x:c r="D55" s="41" t="str">
        <x:v>2026-05-05</x:v>
      </x:c>
      <x:c r="E55" s="41" t="str">
        <x:v>固定日期</x:v>
      </x:c>
      <x:c r="F55" s="41" t="str">
        <x:v>墨西哥风party favors、彩色装饰、西语祝福卡</x:v>
      </x:c>
      <x:c r="G55" s="41" t="str">
        <x:v>2026-02-04 ~ 2026-02-19：筛对应SKU、查历史销量/库存/利润空间。</x:v>
      </x:c>
      <x:c r="H55" s="41" t="str">
        <x:v>2026-03-21 ~ 2026-03-31：补广告结构、关键词和Listing埋词。</x:v>
      </x:c>
      <x:c r="I55" s="41" t="str">
        <x:v>2026-04-21 ~ 2026-04-28：重点SKU每日或隔日看，长尾每周2次。</x:v>
      </x:c>
      <x:c r="J55" s="41" t="str">
        <x:f>IF(AND(TODAY()&gt;=$L55,TODAY()&lt;=$M55),"节点进行中",IF(AND(TODAY()&gt;=$R55,TODAY()&lt;=$S55),"高频跟进",IF(AND(TODAY()&gt;=$P55,TODAY()&lt;=$Q55),"二次排查",IF(AND(TODAY()&gt;=$N55,TODAY()&lt;=$O55),"一次排查",IF(TODAY()&lt;$N55,"未到排查",IF(TODAY()&lt;$L55,"等待下一窗口","已过"))))))</x:f>
        <x:v>已过</x:v>
      </x:c>
      <x:c r="K55" s="41" t="str">
        <x:f>IF($J55="节点进行中","今天正在节点/销售窗口内：看销量、库存承接、广告花费、转化和是否需要控投/清尾。",IF($J55="高频跟进","今天在高频跟进窗口：头部SKU每日看；重点看高库存、高花费、断货风险和ACOS。",IF($J55="二次排查","今天在二次排查窗口：补广告结构、关键词/ASIN、预算和Listing埋词。",IF($J55="一次排查","今天在一次排查窗口：先筛SKU，看历史动销、库存、利润和Listing匹配。",IF($J55="未到排查","暂不处理，等一次排查窗口。",IF($J55="等待下一窗口","暂不在排查窗口；等高频或节点开始，除非有库存/广告异常。","已过：复盘、降投、清尾或沉淀明年节点。"))))))</x:f>
        <x:v>已过：复盘、降投、清尾或沉淀明年节点。</x:v>
      </x:c>
      <x:c r="L55" s="42" t="n">
        <x:v>46147</x:v>
      </x:c>
      <x:c r="M55" s="42" t="n">
        <x:v>46147</x:v>
      </x:c>
      <x:c r="N55" s="42" t="n">
        <x:v>46057</x:v>
      </x:c>
      <x:c r="O55" s="42" t="n">
        <x:v>46072</x:v>
      </x:c>
      <x:c r="P55" s="42" t="n">
        <x:v>46102</x:v>
      </x:c>
      <x:c r="Q55" s="42" t="n">
        <x:v>46112</x:v>
      </x:c>
      <x:c r="R55" s="42" t="n">
        <x:v>46133</x:v>
      </x:c>
      <x:c r="S55" s="42" t="n">
        <x:v>46140</x:v>
      </x:c>
      <x:c r="T55" s="43" t="n">
        <x:f>$L55-TODAY()</x:f>
        <x:v>-2</x:v>
      </x:c>
    </x:row>
    <x:row r="56" ht="42" hidden="0" customHeight="1">
      <x:c r="A56" s="41" t="str">
        <x:v>National School Nurse Day</x:v>
      </x:c>
      <x:c r="B56" s="41" t="str">
        <x:v>全国学校护士日</x:v>
      </x:c>
      <x:c r="C56" s="41" t="str">
        <x:v>表彰学校护士在学生健康与校园安全中的作用，适合school nurse gifts。</x:v>
      </x:c>
      <x:c r="D56" s="41" t="str">
        <x:v>2026-05-06</x:v>
      </x:c>
      <x:c r="E56" s="41" t="str">
        <x:v>每年变动</x:v>
      </x:c>
      <x:c r="F56" s="41" t="str">
        <x:v>school nurse gifts、护士感谢卡、badge reel、钥匙扣</x:v>
      </x:c>
      <x:c r="G56" s="41" t="str">
        <x:v>2026-03-07 ~ 2026-03-22：先筛匹配SKU、历史销量、库存和利润空间。</x:v>
      </x:c>
      <x:c r="H56" s="41" t="str">
        <x:v>2026-04-06 ~ 2026-04-15：补关键词/ASIN、Listing埋词和广告预算。</x:v>
      </x:c>
      <x:c r="I56" s="41" t="str">
        <x:v>2026-04-22 ~ 2026-05-08：重点SKU每日看，普通SKU每2-3天看。</x:v>
      </x:c>
      <x:c r="J56" s="41" t="str">
        <x:f>IF(AND(TODAY()&gt;=$L56,TODAY()&lt;=$M56),"节点进行中",IF(AND(TODAY()&gt;=$R56,TODAY()&lt;=$S56),"高频跟进",IF(AND(TODAY()&gt;=$P56,TODAY()&lt;=$Q56),"二次排查",IF(AND(TODAY()&gt;=$N56,TODAY()&lt;=$O56),"一次排查",IF(TODAY()&lt;$N56,"未到排查",IF(TODAY()&lt;$L56,"等待下一窗口","已过"))))))</x:f>
        <x:v>高频跟进</x:v>
      </x:c>
      <x:c r="K56" s="41" t="str">
        <x:f>IF($J56="节点进行中","今天正在节点/销售窗口内：看销量、库存承接、广告花费、转化和是否需要控投/清尾。",IF($J56="高频跟进","今天在高频跟进窗口：头部SKU每日看；重点看高库存、高花费、断货风险和ACOS。",IF($J56="二次排查","今天在二次排查窗口：补广告结构、关键词/ASIN、预算和Listing埋词。",IF($J56="一次排查","今天在一次排查窗口：先筛SKU，看历史动销、库存、利润和Listing匹配。",IF($J56="未到排查","暂不处理，等一次排查窗口。",IF($J56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56" s="42" t="n">
        <x:v>46148</x:v>
      </x:c>
      <x:c r="M56" s="42" t="n">
        <x:v>46148</x:v>
      </x:c>
      <x:c r="N56" s="42" t="n">
        <x:v>46088</x:v>
      </x:c>
      <x:c r="O56" s="42" t="n">
        <x:v>46103</x:v>
      </x:c>
      <x:c r="P56" s="42" t="n">
        <x:v>46118</x:v>
      </x:c>
      <x:c r="Q56" s="42" t="n">
        <x:v>46127</x:v>
      </x:c>
      <x:c r="R56" s="42" t="n">
        <x:v>46134</x:v>
      </x:c>
      <x:c r="S56" s="42" t="n">
        <x:v>46150</x:v>
      </x:c>
      <x:c r="T56" s="43" t="n">
        <x:f>$L56-TODAY()</x:f>
        <x:v>-1</x:v>
      </x:c>
    </x:row>
    <x:row r="57" ht="42" hidden="0" customHeight="1">
      <x:c r="A57" s="41" t="str">
        <x:v>National Nurses Week</x:v>
      </x:c>
      <x:c r="B57" s="41" t="str">
        <x:v>全国护士周</x:v>
      </x:c>
      <x:c r="C57" s="41" t="str">
        <x:v>美国护士礼品核心节点，适合nurse appreciation、RN、CNA等礼品。</x:v>
      </x:c>
      <x:c r="D57" s="41" t="str">
        <x:v>2026-05-06 ~ 2026-05-12</x:v>
      </x:c>
      <x:c r="E57" s="41" t="str">
        <x:v>固定区间</x:v>
      </x:c>
      <x:c r="F57" s="41" t="str">
        <x:v>nurse gifts、nurse week bulk gifts、badge reel、杯子、钥匙扣</x:v>
      </x:c>
      <x:c r="G57" s="41" t="str">
        <x:v>2026-02-20 ~ 2026-03-07：按职业词筛SKU，核库存、历史动销和礼品适配。</x:v>
      </x:c>
      <x:c r="H57" s="41" t="str">
        <x:v>2026-03-27 ~ 2026-04-06：建/补广告组，补关键词/ASIN，处理低效流量。</x:v>
      </x:c>
      <x:c r="I57" s="41" t="str">
        <x:v>2026-04-22 ~ 2026-05-12：高库存/高花费SKU每日看，其余2-3天看。</x:v>
      </x:c>
      <x:c r="J57" s="41" t="str">
        <x:f>IF(AND(TODAY()&gt;=$L57,TODAY()&lt;=$M57),"节点进行中",IF(AND(TODAY()&gt;=$R57,TODAY()&lt;=$S57),"高频跟进",IF(AND(TODAY()&gt;=$P57,TODAY()&lt;=$Q57),"二次排查",IF(AND(TODAY()&gt;=$N57,TODAY()&lt;=$O57),"一次排查",IF(TODAY()&lt;$N57,"未到排查",IF(TODAY()&lt;$L57,"等待下一窗口","已过"))))))</x:f>
        <x:v>节点进行中</x:v>
      </x:c>
      <x:c r="K57" s="41" t="str">
        <x:f>IF($J57="节点进行中","今天正在节点/销售窗口内：看销量、库存承接、广告花费、转化和是否需要控投/清尾。",IF($J57="高频跟进","今天在高频跟进窗口：头部SKU每日看；重点看高库存、高花费、断货风险和ACOS。",IF($J57="二次排查","今天在二次排查窗口：补广告结构、关键词/ASIN、预算和Listing埋词。",IF($J57="一次排查","今天在一次排查窗口：先筛SKU，看历史动销、库存、利润和Listing匹配。",IF($J57="未到排查","暂不处理，等一次排查窗口。",IF($J57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57" s="42" t="n">
        <x:v>46148</x:v>
      </x:c>
      <x:c r="M57" s="42" t="n">
        <x:v>46154</x:v>
      </x:c>
      <x:c r="N57" s="42" t="n">
        <x:v>46073</x:v>
      </x:c>
      <x:c r="O57" s="42" t="n">
        <x:v>46088</x:v>
      </x:c>
      <x:c r="P57" s="42" t="n">
        <x:v>46108</x:v>
      </x:c>
      <x:c r="Q57" s="42" t="n">
        <x:v>46118</x:v>
      </x:c>
      <x:c r="R57" s="42" t="n">
        <x:v>46134</x:v>
      </x:c>
      <x:c r="S57" s="42" t="n">
        <x:v>46154</x:v>
      </x:c>
      <x:c r="T57" s="43" t="n">
        <x:f>$L57-TODAY()</x:f>
        <x:v>-1</x:v>
      </x:c>
    </x:row>
    <x:row r="58" ht="42" hidden="0" customHeight="1">
      <x:c r="A58" s="41" t="str">
        <x:v>National Nurses Day</x:v>
      </x:c>
      <x:c r="B58" s="41" t="str">
        <x:v>全国护士日</x:v>
      </x:c>
      <x:c r="C58" s="41" t="str">
        <x:v>护士周第一天，适合护士节相关感谢礼和社媒促销。</x:v>
      </x:c>
      <x:c r="D58" s="41" t="str">
        <x:v>2026-05-06</x:v>
      </x:c>
      <x:c r="E58" s="41" t="str">
        <x:v>固定日期</x:v>
      </x:c>
      <x:c r="F58" s="41" t="str">
        <x:v>nurse gifts、nurse week bulk gifts、badge reel、杯子、钥匙扣</x:v>
      </x:c>
      <x:c r="G58" s="41" t="str">
        <x:v>2026-03-07 ~ 2026-03-22：先筛匹配SKU、历史销量、库存和利润空间。</x:v>
      </x:c>
      <x:c r="H58" s="41" t="str">
        <x:v>2026-04-06 ~ 2026-04-15：补关键词/ASIN、Listing埋词和广告预算。</x:v>
      </x:c>
      <x:c r="I58" s="41" t="str">
        <x:v>2026-04-22 ~ 2026-05-08：重点SKU每日看，普通SKU每2-3天看。</x:v>
      </x:c>
      <x:c r="J58" s="41" t="str">
        <x:f>IF(AND(TODAY()&gt;=$L58,TODAY()&lt;=$M58),"节点进行中",IF(AND(TODAY()&gt;=$R58,TODAY()&lt;=$S58),"高频跟进",IF(AND(TODAY()&gt;=$P58,TODAY()&lt;=$Q58),"二次排查",IF(AND(TODAY()&gt;=$N58,TODAY()&lt;=$O58),"一次排查",IF(TODAY()&lt;$N58,"未到排查",IF(TODAY()&lt;$L58,"等待下一窗口","已过"))))))</x:f>
        <x:v>高频跟进</x:v>
      </x:c>
      <x:c r="K58" s="41" t="str">
        <x:f>IF($J58="节点进行中","今天正在节点/销售窗口内：看销量、库存承接、广告花费、转化和是否需要控投/清尾。",IF($J58="高频跟进","今天在高频跟进窗口：头部SKU每日看；重点看高库存、高花费、断货风险和ACOS。",IF($J58="二次排查","今天在二次排查窗口：补广告结构、关键词/ASIN、预算和Listing埋词。",IF($J58="一次排查","今天在一次排查窗口：先筛SKU，看历史动销、库存、利润和Listing匹配。",IF($J58="未到排查","暂不处理，等一次排查窗口。",IF($J58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58" s="42" t="n">
        <x:v>46148</x:v>
      </x:c>
      <x:c r="M58" s="42" t="n">
        <x:v>46148</x:v>
      </x:c>
      <x:c r="N58" s="42" t="n">
        <x:v>46088</x:v>
      </x:c>
      <x:c r="O58" s="42" t="n">
        <x:v>46103</x:v>
      </x:c>
      <x:c r="P58" s="42" t="n">
        <x:v>46118</x:v>
      </x:c>
      <x:c r="Q58" s="42" t="n">
        <x:v>46127</x:v>
      </x:c>
      <x:c r="R58" s="42" t="n">
        <x:v>46134</x:v>
      </x:c>
      <x:c r="S58" s="42" t="n">
        <x:v>46150</x:v>
      </x:c>
      <x:c r="T58" s="43" t="n">
        <x:f>$L58-TODAY()</x:f>
        <x:v>-1</x:v>
      </x:c>
    </x:row>
    <x:row r="59" ht="42" hidden="0" customHeight="1">
      <x:c r="A59" s="41" t="str">
        <x:v>International Nurses Day</x:v>
      </x:c>
      <x:c r="B59" s="41" t="str">
        <x:v>国际护士节</x:v>
      </x:c>
      <x:c r="C59" s="41" t="str">
        <x:v>纪念南丁格尔生日的国际护士节点，适合全球护士礼品。</x:v>
      </x:c>
      <x:c r="D59" s="41" t="str">
        <x:v>2026-05-12</x:v>
      </x:c>
      <x:c r="E59" s="41" t="str">
        <x:v>固定日期</x:v>
      </x:c>
      <x:c r="F59" s="41" t="str">
        <x:v>nurse gifts、nurse week bulk gifts、badge reel、杯子、钥匙扣</x:v>
      </x:c>
      <x:c r="G59" s="41" t="str">
        <x:v>2026-03-13 ~ 2026-03-28：先筛匹配SKU、历史销量、库存和利润空间。</x:v>
      </x:c>
      <x:c r="H59" s="41" t="str">
        <x:v>2026-04-12 ~ 2026-04-21：补关键词/ASIN、Listing埋词和广告预算。</x:v>
      </x:c>
      <x:c r="I59" s="41" t="str">
        <x:v>2026-04-28 ~ 2026-05-14：重点SKU每日看，普通SKU每2-3天看。</x:v>
      </x:c>
      <x:c r="J59" s="41" t="str">
        <x:f>IF(AND(TODAY()&gt;=$L59,TODAY()&lt;=$M59),"节点进行中",IF(AND(TODAY()&gt;=$R59,TODAY()&lt;=$S59),"高频跟进",IF(AND(TODAY()&gt;=$P59,TODAY()&lt;=$Q59),"二次排查",IF(AND(TODAY()&gt;=$N59,TODAY()&lt;=$O59),"一次排查",IF(TODAY()&lt;$N59,"未到排查",IF(TODAY()&lt;$L59,"等待下一窗口","已过"))))))</x:f>
        <x:v>高频跟进</x:v>
      </x:c>
      <x:c r="K59" s="41" t="str">
        <x:f>IF($J59="节点进行中","今天正在节点/销售窗口内：看销量、库存承接、广告花费、转化和是否需要控投/清尾。",IF($J59="高频跟进","今天在高频跟进窗口：头部SKU每日看；重点看高库存、高花费、断货风险和ACOS。",IF($J59="二次排查","今天在二次排查窗口：补广告结构、关键词/ASIN、预算和Listing埋词。",IF($J59="一次排查","今天在一次排查窗口：先筛SKU，看历史动销、库存、利润和Listing匹配。",IF($J59="未到排查","暂不处理，等一次排查窗口。",IF($J59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59" s="42" t="n">
        <x:v>46154</x:v>
      </x:c>
      <x:c r="M59" s="42" t="n">
        <x:v>46154</x:v>
      </x:c>
      <x:c r="N59" s="42" t="n">
        <x:v>46094</x:v>
      </x:c>
      <x:c r="O59" s="42" t="n">
        <x:v>46109</x:v>
      </x:c>
      <x:c r="P59" s="42" t="n">
        <x:v>46124</x:v>
      </x:c>
      <x:c r="Q59" s="42" t="n">
        <x:v>46133</x:v>
      </x:c>
      <x:c r="R59" s="42" t="n">
        <x:v>46140</x:v>
      </x:c>
      <x:c r="S59" s="42" t="n">
        <x:v>46156</x:v>
      </x:c>
      <x:c r="T59" s="43" t="n">
        <x:f>$L59-TODAY()</x:f>
        <x:v>5</x:v>
      </x:c>
    </x:row>
    <x:row r="60" ht="42" hidden="0" customHeight="1">
      <x:c r="A60" s="41" t="str">
        <x:v>Staff Appreciation Week</x:v>
      </x:c>
      <x:c r="B60" s="41" t="str">
        <x:v>员工/教职工感谢周</x:v>
      </x:c>
      <x:c r="C60" s="41" t="str">
        <x:v>学校和机构感谢全体工作人员的泛职场节点，适合bulk gifts。</x:v>
      </x:c>
      <x:c r="D60" s="41" t="str">
        <x:v>2026-05-04 ~ 2026-05-08</x:v>
      </x:c>
      <x:c r="E60" s="41" t="str">
        <x:v>区间变动：按5月上旬/教师感谢周邻近窗口</x:v>
      </x:c>
      <x:c r="F60" s="41" t="str">
        <x:v>teacher gifts、staff appreciation bulk gifts、书签/手链/感谢卡</x:v>
      </x:c>
      <x:c r="G60" s="41" t="str">
        <x:v>2026-02-18 ~ 2026-03-05：按职业词筛SKU，核库存、历史动销和礼品适配。</x:v>
      </x:c>
      <x:c r="H60" s="41" t="str">
        <x:v>2026-03-25 ~ 2026-04-04：建/补广告组，补关键词/ASIN，处理低效流量。</x:v>
      </x:c>
      <x:c r="I60" s="41" t="str">
        <x:v>2026-04-20 ~ 2026-05-08：高库存/高花费SKU每日看，其余2-3天看。</x:v>
      </x:c>
      <x:c r="J60" s="41" t="str">
        <x:f>IF(AND(TODAY()&gt;=$L60,TODAY()&lt;=$M60),"节点进行中",IF(AND(TODAY()&gt;=$R60,TODAY()&lt;=$S60),"高频跟进",IF(AND(TODAY()&gt;=$P60,TODAY()&lt;=$Q60),"二次排查",IF(AND(TODAY()&gt;=$N60,TODAY()&lt;=$O60),"一次排查",IF(TODAY()&lt;$N60,"未到排查",IF(TODAY()&lt;$L60,"等待下一窗口","已过"))))))</x:f>
        <x:v>节点进行中</x:v>
      </x:c>
      <x:c r="K60" s="41" t="str">
        <x:f>IF($J60="节点进行中","今天正在节点/销售窗口内：看销量、库存承接、广告花费、转化和是否需要控投/清尾。",IF($J60="高频跟进","今天在高频跟进窗口：头部SKU每日看；重点看高库存、高花费、断货风险和ACOS。",IF($J60="二次排查","今天在二次排查窗口：补广告结构、关键词/ASIN、预算和Listing埋词。",IF($J60="一次排查","今天在一次排查窗口：先筛SKU，看历史动销、库存、利润和Listing匹配。",IF($J60="未到排查","暂不处理，等一次排查窗口。",IF($J60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60" s="42" t="n">
        <x:v>46146</x:v>
      </x:c>
      <x:c r="M60" s="42" t="n">
        <x:v>46150</x:v>
      </x:c>
      <x:c r="N60" s="42" t="n">
        <x:v>46071</x:v>
      </x:c>
      <x:c r="O60" s="42" t="n">
        <x:v>46086</x:v>
      </x:c>
      <x:c r="P60" s="42" t="n">
        <x:v>46106</x:v>
      </x:c>
      <x:c r="Q60" s="42" t="n">
        <x:v>46116</x:v>
      </x:c>
      <x:c r="R60" s="42" t="n">
        <x:v>46132</x:v>
      </x:c>
      <x:c r="S60" s="42" t="n">
        <x:v>46150</x:v>
      </x:c>
      <x:c r="T60" s="43" t="n">
        <x:f>$L60-TODAY()</x:f>
        <x:v>-3</x:v>
      </x:c>
    </x:row>
    <x:row r="61" ht="42" hidden="0" customHeight="1">
      <x:c r="A61" s="41" t="str">
        <x:v>Mother's Day</x:v>
      </x:c>
      <x:c r="B61" s="41" t="str">
        <x:v>母亲节</x:v>
      </x:c>
      <x:c r="C61" s="41" t="str">
        <x:v>美国上半年最强礼品节点之一，适合mom、grandma、wife、Christian mom等礼品。</x:v>
      </x:c>
      <x:c r="D61" s="41" t="str">
        <x:v>2026-05-10</x:v>
      </x:c>
      <x:c r="E61" s="41" t="str">
        <x:v>每年变动</x:v>
      </x:c>
      <x:c r="F61" s="41" t="str">
        <x:v>mom gifts、christian mom gifts、首饰/手链、感谢卡、家居小礼</x:v>
      </x:c>
      <x:c r="G61" s="41" t="str">
        <x:v>2026-01-10 ~ 2026-02-09：先看历史销量、库存/FBA承接、是否需要改Listing。</x:v>
      </x:c>
      <x:c r="H61" s="41" t="str">
        <x:v>2026-03-11 ~ 2026-03-26：广告结构、关键词/ASIN、标题主图必须基本到位。</x:v>
      </x:c>
      <x:c r="I61" s="41" t="str">
        <x:v>2026-04-19 ~ 2026-05-13：头部SKU每日看，过后及时降投/清尾。</x:v>
      </x:c>
      <x:c r="J61" s="41" t="str">
        <x:f>IF(AND(TODAY()&gt;=$L61,TODAY()&lt;=$M61),"节点进行中",IF(AND(TODAY()&gt;=$R61,TODAY()&lt;=$S61),"高频跟进",IF(AND(TODAY()&gt;=$P61,TODAY()&lt;=$Q61),"二次排查",IF(AND(TODAY()&gt;=$N61,TODAY()&lt;=$O61),"一次排查",IF(TODAY()&lt;$N61,"未到排查",IF(TODAY()&lt;$L61,"等待下一窗口","已过"))))))</x:f>
        <x:v>高频跟进</x:v>
      </x:c>
      <x:c r="K61" s="41" t="str">
        <x:f>IF($J61="节点进行中","今天正在节点/销售窗口内：看销量、库存承接、广告花费、转化和是否需要控投/清尾。",IF($J61="高频跟进","今天在高频跟进窗口：头部SKU每日看；重点看高库存、高花费、断货风险和ACOS。",IF($J61="二次排查","今天在二次排查窗口：补广告结构、关键词/ASIN、预算和Listing埋词。",IF($J61="一次排查","今天在一次排查窗口：先筛SKU，看历史动销、库存、利润和Listing匹配。",IF($J61="未到排查","暂不处理，等一次排查窗口。",IF($J61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1" s="42" t="n">
        <x:v>46152</x:v>
      </x:c>
      <x:c r="M61" s="42" t="n">
        <x:v>46152</x:v>
      </x:c>
      <x:c r="N61" s="42" t="n">
        <x:v>46032</x:v>
      </x:c>
      <x:c r="O61" s="42" t="n">
        <x:v>46062</x:v>
      </x:c>
      <x:c r="P61" s="42" t="n">
        <x:v>46092</x:v>
      </x:c>
      <x:c r="Q61" s="42" t="n">
        <x:v>46107</x:v>
      </x:c>
      <x:c r="R61" s="42" t="n">
        <x:v>46131</x:v>
      </x:c>
      <x:c r="S61" s="42" t="n">
        <x:v>46155</x:v>
      </x:c>
      <x:c r="T61" s="43" t="n">
        <x:f>$L61-TODAY()</x:f>
        <x:v>3</x:v>
      </x:c>
    </x:row>
    <x:row r="62" ht="42" hidden="0" customHeight="1">
      <x:c r="A62" s="41" t="str">
        <x:v>National Police Week</x:v>
      </x:c>
      <x:c r="B62" s="41" t="str">
        <x:v>全国警察周</x:v>
      </x:c>
      <x:c r="C62" s="41" t="str">
        <x:v>纪念执法人员贡献与牺牲，适合police officer感谢礼。</x:v>
      </x:c>
      <x:c r="D62" s="41" t="str">
        <x:v>2026-05-10 ~ 2026-05-16</x:v>
      </x:c>
      <x:c r="E62" s="41" t="str">
        <x:v>每年变动</x:v>
      </x:c>
      <x:c r="F62" s="41" t="str">
        <x:v>police officer gifts、law enforcement感谢礼、patriotic keychain</x:v>
      </x:c>
      <x:c r="G62" s="41" t="str">
        <x:v>2026-02-24 ~ 2026-03-11：按职业词筛SKU，核库存、历史动销和礼品适配。</x:v>
      </x:c>
      <x:c r="H62" s="41" t="str">
        <x:v>2026-03-31 ~ 2026-04-10：建/补广告组，补关键词/ASIN，处理低效流量。</x:v>
      </x:c>
      <x:c r="I62" s="41" t="str">
        <x:v>2026-04-26 ~ 2026-05-16：高库存/高花费SKU每日看，其余2-3天看。</x:v>
      </x:c>
      <x:c r="J62" s="41" t="str">
        <x:f>IF(AND(TODAY()&gt;=$L62,TODAY()&lt;=$M62),"节点进行中",IF(AND(TODAY()&gt;=$R62,TODAY()&lt;=$S62),"高频跟进",IF(AND(TODAY()&gt;=$P62,TODAY()&lt;=$Q62),"二次排查",IF(AND(TODAY()&gt;=$N62,TODAY()&lt;=$O62),"一次排查",IF(TODAY()&lt;$N62,"未到排查",IF(TODAY()&lt;$L62,"等待下一窗口","已过"))))))</x:f>
        <x:v>高频跟进</x:v>
      </x:c>
      <x:c r="K62" s="41" t="str">
        <x:f>IF($J62="节点进行中","今天正在节点/销售窗口内：看销量、库存承接、广告花费、转化和是否需要控投/清尾。",IF($J62="高频跟进","今天在高频跟进窗口：头部SKU每日看；重点看高库存、高花费、断货风险和ACOS。",IF($J62="二次排查","今天在二次排查窗口：补广告结构、关键词/ASIN、预算和Listing埋词。",IF($J62="一次排查","今天在一次排查窗口：先筛SKU，看历史动销、库存、利润和Listing匹配。",IF($J62="未到排查","暂不处理，等一次排查窗口。",IF($J62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2" s="42" t="n">
        <x:v>46152</x:v>
      </x:c>
      <x:c r="M62" s="42" t="n">
        <x:v>46158</x:v>
      </x:c>
      <x:c r="N62" s="42" t="n">
        <x:v>46077</x:v>
      </x:c>
      <x:c r="O62" s="42" t="n">
        <x:v>46092</x:v>
      </x:c>
      <x:c r="P62" s="42" t="n">
        <x:v>46112</x:v>
      </x:c>
      <x:c r="Q62" s="42" t="n">
        <x:v>46122</x:v>
      </x:c>
      <x:c r="R62" s="42" t="n">
        <x:v>46138</x:v>
      </x:c>
      <x:c r="S62" s="42" t="n">
        <x:v>46158</x:v>
      </x:c>
      <x:c r="T62" s="43" t="n">
        <x:f>$L62-TODAY()</x:f>
        <x:v>3</x:v>
      </x:c>
    </x:row>
    <x:row r="63" ht="42" hidden="0" customHeight="1">
      <x:c r="A63" s="41" t="str">
        <x:v>National Hospital Week</x:v>
      </x:c>
      <x:c r="B63" s="41" t="str">
        <x:v>全国医院周</x:v>
      </x:c>
      <x:c r="C63" s="41" t="str">
        <x:v>表彰医院、医疗系统和医护团队，适合healthcare worker、hospital staff appreciation礼品。</x:v>
      </x:c>
      <x:c r="D63" s="41" t="str">
        <x:v>2026-05-10 ~ 2026-05-16</x:v>
      </x:c>
      <x:c r="E63" s="41" t="str">
        <x:v>每年变动</x:v>
      </x:c>
      <x:c r="F63" s="41" t="str">
        <x:v>healthcare worker gifts、hospital staff appreciation、badge reel、钥匙扣、感谢卡</x:v>
      </x:c>
      <x:c r="G63" s="41" t="str">
        <x:v>2026-02-24 ~ 2026-03-11：按职业词筛SKU，核库存、历史动销和礼品适配。</x:v>
      </x:c>
      <x:c r="H63" s="41" t="str">
        <x:v>2026-03-31 ~ 2026-04-10：建/补广告组，补关键词/ASIN，处理低效流量。</x:v>
      </x:c>
      <x:c r="I63" s="41" t="str">
        <x:v>2026-04-26 ~ 2026-05-16：高库存/高花费SKU每日看，其余2-3天看。</x:v>
      </x:c>
      <x:c r="J63" s="41" t="str">
        <x:f>IF(AND(TODAY()&gt;=$L63,TODAY()&lt;=$M63),"节点进行中",IF(AND(TODAY()&gt;=$R63,TODAY()&lt;=$S63),"高频跟进",IF(AND(TODAY()&gt;=$P63,TODAY()&lt;=$Q63),"二次排查",IF(AND(TODAY()&gt;=$N63,TODAY()&lt;=$O63),"一次排查",IF(TODAY()&lt;$N63,"未到排查",IF(TODAY()&lt;$L63,"等待下一窗口","已过"))))))</x:f>
        <x:v>高频跟进</x:v>
      </x:c>
      <x:c r="K63" s="41" t="str">
        <x:f>IF($J63="节点进行中","今天正在节点/销售窗口内：看销量、库存承接、广告花费、转化和是否需要控投/清尾。",IF($J63="高频跟进","今天在高频跟进窗口：头部SKU每日看；重点看高库存、高花费、断货风险和ACOS。",IF($J63="二次排查","今天在二次排查窗口：补广告结构、关键词/ASIN、预算和Listing埋词。",IF($J63="一次排查","今天在一次排查窗口：先筛SKU，看历史动销、库存、利润和Listing匹配。",IF($J63="未到排查","暂不处理，等一次排查窗口。",IF($J63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3" s="42" t="n">
        <x:v>46152</x:v>
      </x:c>
      <x:c r="M63" s="42" t="n">
        <x:v>46158</x:v>
      </x:c>
      <x:c r="N63" s="42" t="n">
        <x:v>46077</x:v>
      </x:c>
      <x:c r="O63" s="42" t="n">
        <x:v>46092</x:v>
      </x:c>
      <x:c r="P63" s="42" t="n">
        <x:v>46112</x:v>
      </x:c>
      <x:c r="Q63" s="42" t="n">
        <x:v>46122</x:v>
      </x:c>
      <x:c r="R63" s="42" t="n">
        <x:v>46138</x:v>
      </x:c>
      <x:c r="S63" s="42" t="n">
        <x:v>46158</x:v>
      </x:c>
      <x:c r="T63" s="43" t="n">
        <x:f>$L63-TODAY()</x:f>
        <x:v>3</x:v>
      </x:c>
    </x:row>
    <x:row r="64" ht="42" hidden="0" customHeight="1">
      <x:c r="A64" s="41" t="str">
        <x:v>VBS / Vacation Bible School</x:v>
      </x:c>
      <x:c r="B64" s="41" t="str">
        <x:v>暑期圣经学校</x:v>
      </x:c>
      <x:c r="C64" s="41" t="str">
        <x:v>美国教会儿童暑期活动季，适合基督教小礼品、贴纸、crafts、bulk gifts。</x:v>
      </x:c>
      <x:c r="D64" s="41" t="str">
        <x:v>2026-05-25 ~ 2026-07-31</x:v>
      </x:c>
      <x:c r="E64" s="41" t="str">
        <x:v>区间变动：按教会活动季取常用窗口</x:v>
      </x:c>
      <x:c r="F64" s="41" t="str">
        <x:v>Christian gifts、Bible verse书签/卡片、教会活动礼、pocket hug</x:v>
      </x:c>
      <x:c r="G64" s="41" t="str">
        <x:v>2026-02-24 ~ 2026-03-10：看历史动销起点、库存承接、Listing是否匹配。</x:v>
      </x:c>
      <x:c r="H64" s="41" t="str">
        <x:v>2026-04-10 ~ 2026-04-24：完成关键词/ASIN/主图标题检查，低预算轻测。</x:v>
      </x:c>
      <x:c r="I64" s="41" t="str">
        <x:v>2026-05-11 ~ 2026-06-27：头部SKU每日看，普通SKU每周2次。</x:v>
      </x:c>
      <x:c r="J64" s="41" t="str">
        <x:f>IF(AND(TODAY()&gt;=$L64,TODAY()&lt;=$M64),"节点进行中",IF(AND(TODAY()&gt;=$R64,TODAY()&lt;=$S64),"高频跟进",IF(AND(TODAY()&gt;=$P64,TODAY()&lt;=$Q64),"二次排查",IF(AND(TODAY()&gt;=$N64,TODAY()&lt;=$O64),"一次排查",IF(TODAY()&lt;$N64,"未到排查",IF(TODAY()&lt;$L64,"等待下一窗口","已过"))))))</x:f>
        <x:v>等待下一窗口</x:v>
      </x:c>
      <x:c r="K64" s="41" t="str">
        <x:f>IF($J64="节点进行中","今天正在节点/销售窗口内：看销量、库存承接、广告花费、转化和是否需要控投/清尾。",IF($J64="高频跟进","今天在高频跟进窗口：头部SKU每日看；重点看高库存、高花费、断货风险和ACOS。",IF($J64="二次排查","今天在二次排查窗口：补广告结构、关键词/ASIN、预算和Listing埋词。",IF($J64="一次排查","今天在一次排查窗口：先筛SKU，看历史动销、库存、利润和Listing匹配。",IF($J64="未到排查","暂不处理，等一次排查窗口。",IF($J64="等待下一窗口","暂不在排查窗口；等高频或节点开始，除非有库存/广告异常。","已过：复盘、降投、清尾或沉淀明年节点。"))))))</x:f>
        <x:v>暂不在排查窗口；等高频或节点开始，除非有库存/广告异常。</x:v>
      </x:c>
      <x:c r="L64" s="42" t="n">
        <x:v>46167</x:v>
      </x:c>
      <x:c r="M64" s="42" t="n">
        <x:v>46234</x:v>
      </x:c>
      <x:c r="N64" s="42" t="n">
        <x:v>46077</x:v>
      </x:c>
      <x:c r="O64" s="42" t="n">
        <x:v>46091</x:v>
      </x:c>
      <x:c r="P64" s="42" t="n">
        <x:v>46122</x:v>
      </x:c>
      <x:c r="Q64" s="42" t="n">
        <x:v>46136</x:v>
      </x:c>
      <x:c r="R64" s="42" t="n">
        <x:v>46153</x:v>
      </x:c>
      <x:c r="S64" s="42" t="n">
        <x:v>46200</x:v>
      </x:c>
      <x:c r="T64" s="43" t="n">
        <x:f>$L64-TODAY()</x:f>
        <x:v>18</x:v>
      </x:c>
    </x:row>
    <x:row r="65" ht="42" hidden="0" customHeight="1">
      <x:c r="A65" s="41" t="str">
        <x:v>World Baking Day</x:v>
      </x:c>
      <x:c r="B65" s="41" t="str">
        <x:v>世界烘焙日</x:v>
      </x:c>
      <x:c r="C65" s="41" t="str">
        <x:v>烘焙爱好者与厨房用品营销节点，适合baking gifts、apron、utensils。</x:v>
      </x:c>
      <x:c r="D65" s="41" t="str">
        <x:v>2026-05-17</x:v>
      </x:c>
      <x:c r="E65" s="41" t="str">
        <x:v>固定日期</x:v>
      </x:c>
      <x:c r="F65" s="41" t="str">
        <x:v>baker gifts、厨房小物、食谱卡、烘焙主题装饰</x:v>
      </x:c>
      <x:c r="G65" s="41" t="str">
        <x:v>2026-03-18 ~ 2026-04-02：先筛匹配SKU、历史销量、库存和利润空间。</x:v>
      </x:c>
      <x:c r="H65" s="41" t="str">
        <x:v>2026-04-17 ~ 2026-04-26：补关键词/ASIN、Listing埋词和广告预算。</x:v>
      </x:c>
      <x:c r="I65" s="41" t="str">
        <x:v>2026-05-03 ~ 2026-05-19：重点SKU每日看，普通SKU每2-3天看。</x:v>
      </x:c>
      <x:c r="J65" s="41" t="str">
        <x:f>IF(AND(TODAY()&gt;=$L65,TODAY()&lt;=$M65),"节点进行中",IF(AND(TODAY()&gt;=$R65,TODAY()&lt;=$S65),"高频跟进",IF(AND(TODAY()&gt;=$P65,TODAY()&lt;=$Q65),"二次排查",IF(AND(TODAY()&gt;=$N65,TODAY()&lt;=$O65),"一次排查",IF(TODAY()&lt;$N65,"未到排查",IF(TODAY()&lt;$L65,"等待下一窗口","已过"))))))</x:f>
        <x:v>高频跟进</x:v>
      </x:c>
      <x:c r="K65" s="41" t="str">
        <x:f>IF($J65="节点进行中","今天正在节点/销售窗口内：看销量、库存承接、广告花费、转化和是否需要控投/清尾。",IF($J65="高频跟进","今天在高频跟进窗口：头部SKU每日看；重点看高库存、高花费、断货风险和ACOS。",IF($J65="二次排查","今天在二次排查窗口：补广告结构、关键词/ASIN、预算和Listing埋词。",IF($J65="一次排查","今天在一次排查窗口：先筛SKU，看历史动销、库存、利润和Listing匹配。",IF($J65="未到排查","暂不处理，等一次排查窗口。",IF($J65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5" s="42" t="n">
        <x:v>46159</x:v>
      </x:c>
      <x:c r="M65" s="42" t="n">
        <x:v>46159</x:v>
      </x:c>
      <x:c r="N65" s="42" t="n">
        <x:v>46099</x:v>
      </x:c>
      <x:c r="O65" s="42" t="n">
        <x:v>46114</x:v>
      </x:c>
      <x:c r="P65" s="42" t="n">
        <x:v>46129</x:v>
      </x:c>
      <x:c r="Q65" s="42" t="n">
        <x:v>46138</x:v>
      </x:c>
      <x:c r="R65" s="42" t="n">
        <x:v>46145</x:v>
      </x:c>
      <x:c r="S65" s="42" t="n">
        <x:v>46161</x:v>
      </x:c>
      <x:c r="T65" s="43" t="n">
        <x:f>$L65-TODAY()</x:f>
        <x:v>10</x:v>
      </x:c>
    </x:row>
    <x:row r="66" ht="42" hidden="0" customHeight="1">
      <x:c r="A66" s="41" t="str">
        <x:v>National EMS Week</x:v>
      </x:c>
      <x:c r="B66" s="41" t="str">
        <x:v>全国急救医疗服务周</x:v>
      </x:c>
      <x:c r="C66" s="41" t="str">
        <x:v>表彰EMT、paramedic和急救医疗服务人员，适合first responder、EMS appreciation礼品。</x:v>
      </x:c>
      <x:c r="D66" s="41" t="str">
        <x:v>2026-05-17 ~ 2026-05-23</x:v>
      </x:c>
      <x:c r="E66" s="41" t="str">
        <x:v>每年变动</x:v>
      </x:c>
      <x:c r="F66" s="41" t="str">
        <x:v>EMT/paramedic gifts、first responder感谢礼、钥匙扣</x:v>
      </x:c>
      <x:c r="G66" s="41" t="str">
        <x:v>2026-03-03 ~ 2026-03-18：按职业词筛SKU，核库存、历史动销和礼品适配。</x:v>
      </x:c>
      <x:c r="H66" s="41" t="str">
        <x:v>2026-04-07 ~ 2026-04-17：建/补广告组，补关键词/ASIN，处理低效流量。</x:v>
      </x:c>
      <x:c r="I66" s="41" t="str">
        <x:v>2026-05-03 ~ 2026-05-23：高库存/高花费SKU每日看，其余2-3天看。</x:v>
      </x:c>
      <x:c r="J66" s="41" t="str">
        <x:f>IF(AND(TODAY()&gt;=$L66,TODAY()&lt;=$M66),"节点进行中",IF(AND(TODAY()&gt;=$R66,TODAY()&lt;=$S66),"高频跟进",IF(AND(TODAY()&gt;=$P66,TODAY()&lt;=$Q66),"二次排查",IF(AND(TODAY()&gt;=$N66,TODAY()&lt;=$O66),"一次排查",IF(TODAY()&lt;$N66,"未到排查",IF(TODAY()&lt;$L66,"等待下一窗口","已过"))))))</x:f>
        <x:v>高频跟进</x:v>
      </x:c>
      <x:c r="K66" s="41" t="str">
        <x:f>IF($J66="节点进行中","今天正在节点/销售窗口内：看销量、库存承接、广告花费、转化和是否需要控投/清尾。",IF($J66="高频跟进","今天在高频跟进窗口：头部SKU每日看；重点看高库存、高花费、断货风险和ACOS。",IF($J66="二次排查","今天在二次排查窗口：补广告结构、关键词/ASIN、预算和Listing埋词。",IF($J66="一次排查","今天在一次排查窗口：先筛SKU，看历史动销、库存、利润和Listing匹配。",IF($J66="未到排查","暂不处理，等一次排查窗口。",IF($J66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6" s="42" t="n">
        <x:v>46159</x:v>
      </x:c>
      <x:c r="M66" s="42" t="n">
        <x:v>46165</x:v>
      </x:c>
      <x:c r="N66" s="42" t="n">
        <x:v>46084</x:v>
      </x:c>
      <x:c r="O66" s="42" t="n">
        <x:v>46099</x:v>
      </x:c>
      <x:c r="P66" s="42" t="n">
        <x:v>46119</x:v>
      </x:c>
      <x:c r="Q66" s="42" t="n">
        <x:v>46129</x:v>
      </x:c>
      <x:c r="R66" s="42" t="n">
        <x:v>46145</x:v>
      </x:c>
      <x:c r="S66" s="42" t="n">
        <x:v>46165</x:v>
      </x:c>
      <x:c r="T66" s="43" t="n">
        <x:f>$L66-TODAY()</x:f>
        <x:v>10</x:v>
      </x:c>
    </x:row>
    <x:row r="67" ht="42" hidden="0" customHeight="1">
      <x:c r="A67" s="41" t="str">
        <x:v>Memorial Day</x:v>
      </x:c>
      <x:c r="B67" s="41" t="str">
        <x:v>阵亡将士纪念日</x:v>
      </x:c>
      <x:c r="C67" s="41" t="str">
        <x:v>美国联邦假日，纪念为国牺牲军人，也是夏季消费和爱国主题预热节点。</x:v>
      </x:c>
      <x:c r="D67" s="41" t="str">
        <x:v>2026-05-25</x:v>
      </x:c>
      <x:c r="E67" s="41" t="str">
        <x:v>每年变动</x:v>
      </x:c>
      <x:c r="F67" s="41" t="str">
        <x:v>patriotic gifts、USA旗帜元素、veteran/military remembrance、户外/BBQ小物</x:v>
      </x:c>
      <x:c r="G67" s="41" t="str">
        <x:v>2026-01-25 ~ 2026-02-24：先看历史销量、库存/FBA承接、是否需要改Listing。</x:v>
      </x:c>
      <x:c r="H67" s="41" t="str">
        <x:v>2026-03-26 ~ 2026-04-10：广告结构、关键词/ASIN、标题主图必须基本到位。</x:v>
      </x:c>
      <x:c r="I67" s="41" t="str">
        <x:v>2026-05-04 ~ 2026-05-28：头部SKU每日看，过后及时降投/清尾。</x:v>
      </x:c>
      <x:c r="J67" s="41" t="str">
        <x:f>IF(AND(TODAY()&gt;=$L67,TODAY()&lt;=$M67),"节点进行中",IF(AND(TODAY()&gt;=$R67,TODAY()&lt;=$S67),"高频跟进",IF(AND(TODAY()&gt;=$P67,TODAY()&lt;=$Q67),"二次排查",IF(AND(TODAY()&gt;=$N67,TODAY()&lt;=$O67),"一次排查",IF(TODAY()&lt;$N67,"未到排查",IF(TODAY()&lt;$L67,"等待下一窗口","已过"))))))</x:f>
        <x:v>高频跟进</x:v>
      </x:c>
      <x:c r="K67" s="41" t="str">
        <x:f>IF($J67="节点进行中","今天正在节点/销售窗口内：看销量、库存承接、广告花费、转化和是否需要控投/清尾。",IF($J67="高频跟进","今天在高频跟进窗口：头部SKU每日看；重点看高库存、高花费、断货风险和ACOS。",IF($J67="二次排查","今天在二次排查窗口：补广告结构、关键词/ASIN、预算和Listing埋词。",IF($J67="一次排查","今天在一次排查窗口：先筛SKU，看历史动销、库存、利润和Listing匹配。",IF($J67="未到排查","暂不处理，等一次排查窗口。",IF($J67="等待下一窗口","暂不在排查窗口；等高频或节点开始，除非有库存/广告异常。","已过：复盘、降投、清尾或沉淀明年节点。"))))))</x:f>
        <x:v>今天在高频跟进窗口：头部SKU每日看；重点看高库存、高花费、断货风险和ACOS。</x:v>
      </x:c>
      <x:c r="L67" s="42" t="n">
        <x:v>46167</x:v>
      </x:c>
      <x:c r="M67" s="42" t="n">
        <x:v>46167</x:v>
      </x:c>
      <x:c r="N67" s="42" t="n">
        <x:v>46047</x:v>
      </x:c>
      <x:c r="O67" s="42" t="n">
        <x:v>46077</x:v>
      </x:c>
      <x:c r="P67" s="42" t="n">
        <x:v>46107</x:v>
      </x:c>
      <x:c r="Q67" s="42" t="n">
        <x:v>46122</x:v>
      </x:c>
      <x:c r="R67" s="42" t="n">
        <x:v>46146</x:v>
      </x:c>
      <x:c r="S67" s="42" t="n">
        <x:v>46170</x:v>
      </x:c>
      <x:c r="T67" s="43" t="n">
        <x:f>$L67-TODAY()</x:f>
        <x:v>18</x:v>
      </x:c>
    </x:row>
    <x:row r="68" ht="42" hidden="0" customHeight="1">
      <x:c r="A68" s="41" t="str">
        <x:v>Wedding Season</x:v>
      </x:c>
      <x:c r="B68" s="41" t="str">
        <x:v>婚礼季</x:v>
      </x:c>
      <x:c r="C68" s="41" t="str">
        <x:v>婚礼、bridal shower、伴娘礼、婚宴装饰需求窗口。</x:v>
      </x:c>
      <x:c r="D68" s="41" t="str">
        <x:v>2026-03-01 ~ 2026-10-31</x:v>
      </x:c>
      <x:c r="E68" s="41" t="str">
        <x:v>区间变动：5-8月更热，取全年婚礼季销售窗口</x:v>
      </x:c>
      <x:c r="F68" s="41" t="str">
        <x:v>婚礼伴手礼、bridal party gifts、guest favors、祝福卡</x:v>
      </x:c>
      <x:c r="G68" s="41" t="str">
        <x:v>2025-12-01 ~ 2025-12-15：看历史动销起点、库存承接、Listing是否匹配。</x:v>
      </x:c>
      <x:c r="H68" s="41" t="str">
        <x:v>2026-01-15 ~ 2026-01-29：完成关键词/ASIN/主图标题检查，低预算轻测。</x:v>
      </x:c>
      <x:c r="I68" s="41" t="str">
        <x:v>2026-02-15 ~ 2026-07-01：头部SKU每日看，普通SKU每周2次。</x:v>
      </x:c>
      <x:c r="J68" s="41" t="str">
        <x:f>IF(AND(TODAY()&gt;=$L68,TODAY()&lt;=$M68),"节点进行中",IF(AND(TODAY()&gt;=$R68,TODAY()&lt;=$S68),"高频跟进",IF(AND(TODAY()&gt;=$P68,TODAY()&lt;=$Q68),"二次排查",IF(AND(TODAY()&gt;=$N68,TODAY()&lt;=$O68),"一次排查",IF(TODAY()&lt;$N68,"未到排查",IF(TODAY()&lt;$L68,"等待下一窗口","已过"))))))</x:f>
        <x:v>节点进行中</x:v>
      </x:c>
      <x:c r="K68" s="41" t="str">
        <x:f>IF($J68="节点进行中","今天正在节点/销售窗口内：看销量、库存承接、广告花费、转化和是否需要控投/清尾。",IF($J68="高频跟进","今天在高频跟进窗口：头部SKU每日看；重点看高库存、高花费、断货风险和ACOS。",IF($J68="二次排查","今天在二次排查窗口：补广告结构、关键词/ASIN、预算和Listing埋词。",IF($J68="一次排查","今天在一次排查窗口：先筛SKU，看历史动销、库存、利润和Listing匹配。",IF($J68="未到排查","暂不处理，等一次排查窗口。",IF($J68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68" s="42" t="n">
        <x:v>46082</x:v>
      </x:c>
      <x:c r="M68" s="42" t="n">
        <x:v>46326</x:v>
      </x:c>
      <x:c r="N68" s="42" t="n">
        <x:v>45992</x:v>
      </x:c>
      <x:c r="O68" s="42" t="n">
        <x:v>46006</x:v>
      </x:c>
      <x:c r="P68" s="42" t="n">
        <x:v>46037</x:v>
      </x:c>
      <x:c r="Q68" s="42" t="n">
        <x:v>46051</x:v>
      </x:c>
      <x:c r="R68" s="42" t="n">
        <x:v>46068</x:v>
      </x:c>
      <x:c r="S68" s="42" t="n">
        <x:v>46204</x:v>
      </x:c>
      <x:c r="T68" s="43" t="n">
        <x:f>$L68-TODAY()</x:f>
        <x:v>-67</x:v>
      </x:c>
    </x:row>
    <x:row r="69" ht="42" hidden="0" customHeight="1">
      <x:c r="A69" s="41" t="str">
        <x:v>Summer Product Season</x:v>
      </x:c>
      <x:c r="B69" s="41" t="str">
        <x:v>夏季产品季</x:v>
      </x:c>
      <x:c r="C69" s="41" t="str">
        <x:v>户外、饮品、派对、旅行、防晒、清凉用品需求窗口。</x:v>
      </x:c>
      <x:c r="D69" s="41" t="str">
        <x:v>2026-03-15 ~ 2026-09-30</x:v>
      </x:c>
      <x:c r="E69" s="41" t="str">
        <x:v>区间变动：按夏季品类常用窗口</x:v>
      </x:c>
      <x:c r="F69" s="41" t="str">
        <x:v>夏季户外、旅行、露营、泳池、降温、太阳花/海滩主题产品</x:v>
      </x:c>
      <x:c r="G69" s="41" t="str">
        <x:v>2025-12-15 ~ 2025-12-29：看历史动销起点、库存承接、Listing是否匹配。</x:v>
      </x:c>
      <x:c r="H69" s="41" t="str">
        <x:v>2026-01-29 ~ 2026-02-12：完成关键词/ASIN/主图标题检查，低预算轻测。</x:v>
      </x:c>
      <x:c r="I69" s="41" t="str">
        <x:v>2026-03-01 ~ 2026-06-22：头部SKU每日看，普通SKU每周2次。</x:v>
      </x:c>
      <x:c r="J69" s="41" t="str">
        <x:f>IF(AND(TODAY()&gt;=$L69,TODAY()&lt;=$M69),"节点进行中",IF(AND(TODAY()&gt;=$R69,TODAY()&lt;=$S69),"高频跟进",IF(AND(TODAY()&gt;=$P69,TODAY()&lt;=$Q69),"二次排查",IF(AND(TODAY()&gt;=$N69,TODAY()&lt;=$O69),"一次排查",IF(TODAY()&lt;$N69,"未到排查",IF(TODAY()&lt;$L69,"等待下一窗口","已过"))))))</x:f>
        <x:v>节点进行中</x:v>
      </x:c>
      <x:c r="K69" s="41" t="str">
        <x:f>IF($J69="节点进行中","今天正在节点/销售窗口内：看销量、库存承接、广告花费、转化和是否需要控投/清尾。",IF($J69="高频跟进","今天在高频跟进窗口：头部SKU每日看；重点看高库存、高花费、断货风险和ACOS。",IF($J69="二次排查","今天在二次排查窗口：补广告结构、关键词/ASIN、预算和Listing埋词。",IF($J69="一次排查","今天在一次排查窗口：先筛SKU，看历史动销、库存、利润和Listing匹配。",IF($J69="未到排查","暂不处理，等一次排查窗口。",IF($J69="等待下一窗口","暂不在排查窗口；等高频或节点开始，除非有库存/广告异常。","已过：复盘、降投、清尾或沉淀明年节点。"))))))</x:f>
        <x:v>今天正在节点/销售窗口内：看销量、库存承接、广告花费、转化和是否需要控投/清尾。</x:v>
      </x:c>
      <x:c r="L69" s="42" t="n">
        <x:v>46096</x:v>
      </x:c>
      <x:c r="M69" s="42" t="n">
        <x:v>46295</x:v>
      </x:c>
      <x:c r="N69" s="42" t="n">
        <x:v>46006</x:v>
      </x:c>
      <x:c r="O69" s="42" t="n">
        <x:v>46020</x:v>
      </x:c>
      <x:c r="P69" s="42" t="n">
        <x:v>46051</x:v>
      </x:c>
      <x:c r="Q69" s="42" t="n">
        <x:v>46065</x:v>
      </x:c>
      <x:c r="R69" s="42" t="n">
        <x:v>46082</x:v>
      </x:c>
      <x:c r="S69" s="42" t="n">
        <x:v>46195</x:v>
      </x:c>
      <x:c r="T69" s="43" t="n">
        <x:f>$L69-TODAY()</x:f>
        <x:v>-53</x:v>
      </x:c>
    </x:row>
    <x:row r="70" ht="42" hidden="0" customHeight="1">
      <x:c r="A70" s="41" t="str">
        <x:v>Pride Month</x:v>
      </x:c>
      <x:c r="B70" s="41" t="str">
        <x:v>骄傲月/LGBTQ+骄傲月</x:v>
      </x:c>
      <x:c r="C70" s="41" t="str">
        <x:v>彩虹、平权、身份表达与社群礼品节点，适合Pride主题视觉与关键词。</x:v>
      </x:c>
      <x:c r="D70" s="41" t="str">
        <x:v>2026-06-01 ~ 2026-06-30</x:v>
      </x:c>
      <x:c r="E70" s="41" t="str">
        <x:v>固定月份</x:v>
      </x:c>
      <x:c r="F70" s="41" t="str">
        <x:v>意识/支持类产品：丝带、手链、鼓励卡、贴纸；敏感节点商业化要克制</x:v>
      </x:c>
      <x:c r="G70" s="41" t="str">
        <x:v>2026-03-03 ~ 2026-03-18：先确认产品真实匹配，避免硬蹭敏感议题。</x:v>
      </x:c>
      <x:c r="H70" s="41" t="str">
        <x:v>2026-04-17 ~ 2026-04-27：检查图片/文案/关键词是否克制且合规。</x:v>
      </x:c>
      <x:c r="I70" s="41" t="str">
        <x:v>2026-05-18 ~ 2026-06-15：每2-3天看；表现差或表达风险高就停。</x:v>
      </x:c>
      <x:c r="J70" s="41" t="str">
        <x:f>IF(AND(TODAY()&gt;=$L70,TODAY()&lt;=$M70),"节点进行中",IF(AND(TODAY()&gt;=$R70,TODAY()&lt;=$S70),"高频跟进",IF(AND(TODAY()&gt;=$P70,TODAY()&lt;=$Q70),"二次排查",IF(AND(TODAY()&gt;=$N70,TODAY()&lt;=$O70),"一次排查",IF(TODAY()&lt;$N70,"未到排查",IF(TODAY()&lt;$L70,"等待下一窗口","已过"))))))</x:f>
        <x:v>等待下一窗口</x:v>
      </x:c>
      <x:c r="K70" s="41" t="str">
        <x:f>IF($J70="节点进行中","今天正在节点/销售窗口内：看销量、库存承接、广告花费、转化和是否需要控投/清尾。",IF($J70="高频跟进","今天在高频跟进窗口：头部SKU每日看；重点看高库存、高花费、断货风险和ACOS。",IF($J70="二次排查","今天在二次排查窗口：补广告结构、关键词/ASIN、预算和Listing埋词。",IF($J70="一次排查","今天在一次排查窗口：先筛SKU，看历史动销、库存、利润和Listing匹配。",IF($J70="未到排查","暂不处理，等一次排查窗口。",IF($J70="等待下一窗口","暂不在排查窗口；等高频或节点开始，除非有库存/广告异常。","已过：复盘、降投、清尾或沉淀明年节点。"))))))</x:f>
        <x:v>暂不在排查窗口；等高频或节点开始，除非有库存/广告异常。</x:v>
      </x:c>
      <x:c r="L70" s="42" t="n">
        <x:v>46174</x:v>
      </x:c>
      <x:c r="M70" s="42" t="n">
        <x:v>46203</x:v>
      </x:c>
      <x:c r="N70" s="42" t="n">
        <x:v>46084</x:v>
      </x:c>
      <x:c r="O70" s="42" t="n">
        <x:v>46099</x:v>
      </x:c>
      <x:c r="P70" s="42" t="n">
        <x:v>46129</x:v>
      </x:c>
      <x:c r="Q70" s="42" t="n">
        <x:v>46139</x:v>
      </x:c>
      <x:c r="R70" s="42" t="n">
        <x:v>46160</x:v>
      </x:c>
      <x:c r="S70" s="42" t="n">
        <x:v>46188</x:v>
      </x:c>
      <x:c r="T70" s="43" t="n">
        <x:f>$L70-TODAY()</x:f>
        <x:v>25</x:v>
      </x:c>
    </x:row>
    <x:row r="71" ht="42" hidden="0" customHeight="1">
      <x:c r="A71" s="41" t="str">
        <x:v>Flag Day</x:v>
      </x:c>
      <x:c r="B71" s="41" t="str">
        <x:v>美国国旗日</x:v>
      </x:c>
      <x:c r="C71" s="41" t="str">
        <x:v>纪念美国国旗采用的日子，适合patriotic、USA、military/veteran相关轻主题。</x:v>
      </x:c>
      <x:c r="D71" s="41" t="str">
        <x:v>2026-06-14</x:v>
      </x:c>
      <x:c r="E71" s="41" t="str">
        <x:v>固定日期</x:v>
      </x:c>
      <x:c r="F71" s="41" t="str">
        <x:v>patriotic gifts、USA旗帜元素、veteran/military thank you礼品、钥匙扣</x:v>
      </x:c>
      <x:c r="G71" s="41" t="str">
        <x:v>2026-04-15 ~ 2026-04-30：先筛匹配SKU、历史销量、库存和利润空间。</x:v>
      </x:c>
      <x:c r="H71" s="41" t="str">
        <x:v>2026-05-15 ~ 2026-05-24：补关键词/ASIN、Listing埋词和广告预算。</x:v>
      </x:c>
      <x:c r="I71" s="41" t="str">
        <x:v>2026-05-31 ~ 2026-06-16：重点SKU每日看，普通SKU每2-3天看。</x:v>
      </x:c>
      <x:c r="J71" s="41" t="str">
        <x:f>IF(AND(TODAY()&gt;=$L71,TODAY()&lt;=$M71),"节点进行中",IF(AND(TODAY()&gt;=$R71,TODAY()&lt;=$S71),"高频跟进",IF(AND(TODAY()&gt;=$P71,TODAY()&lt;=$Q71),"二次排查",IF(AND(TODAY()&gt;=$N71,TODAY()&lt;=$O71),"一次排查",IF(TODAY()&lt;$N71,"未到排查",IF(TODAY()&lt;$L71,"等待下一窗口","已过"))))))</x:f>
        <x:v>等待下一窗口</x:v>
      </x:c>
      <x:c r="K71" s="41" t="str">
        <x:f>IF($J71="节点进行中","今天正在节点/销售窗口内：看销量、库存承接、广告花费、转化和是否需要控投/清尾。",IF($J71="高频跟进","今天在高频跟进窗口：头部SKU每日看；重点看高库存、高花费、断货风险和ACOS。",IF($J71="二次排查","今天在二次排查窗口：补广告结构、关键词/ASIN、预算和Listing埋词。",IF($J71="一次排查","今天在一次排查窗口：先筛SKU，看历史动销、库存、利润和Listing匹配。",IF($J71="未到排查","暂不处理，等一次排查窗口。",IF($J71="等待下一窗口","暂不在排查窗口；等高频或节点开始，除非有库存/广告异常。","已过：复盘、降投、清尾或沉淀明年节点。"))))))</x:f>
        <x:v>暂不在排查窗口；等高频或节点开始，除非有库存/广告异常。</x:v>
      </x:c>
      <x:c r="L71" s="42" t="n">
        <x:v>46187</x:v>
      </x:c>
      <x:c r="M71" s="42" t="n">
        <x:v>46187</x:v>
      </x:c>
      <x:c r="N71" s="42" t="n">
        <x:v>46127</x:v>
      </x:c>
      <x:c r="O71" s="42" t="n">
        <x:v>46142</x:v>
      </x:c>
      <x:c r="P71" s="42" t="n">
        <x:v>46157</x:v>
      </x:c>
      <x:c r="Q71" s="42" t="n">
        <x:v>46166</x:v>
      </x:c>
      <x:c r="R71" s="42" t="n">
        <x:v>46173</x:v>
      </x:c>
      <x:c r="S71" s="42" t="n">
        <x:v>46189</x:v>
      </x:c>
      <x:c r="T71" s="43" t="n">
        <x:f>$L71-TODAY()</x:f>
        <x:v>38</x:v>
      </x:c>
    </x:row>
    <x:row r="72" ht="42" hidden="0" customHeight="1">
      <x:c r="A72" s="41" t="str">
        <x:v>Juneteenth</x:v>
      </x:c>
      <x:c r="B72" s="41" t="str">
        <x:v>六月节/解放日</x:v>
      </x:c>
      <x:c r="C72" s="41" t="str">
        <x:v>纪念美国奴隶制结束的重要联邦假日，适合自由、平权、文化教育主题，商业表达需谨慎。</x:v>
      </x:c>
      <x:c r="D72" s="41" t="str">
        <x:v>2026-06-19</x:v>
      </x:c>
      <x:c r="E72" s="41" t="str">
        <x:v>固定日期</x:v>
      </x:c>
      <x:c r="F72" s="41" t="str">
        <x:v>意识/支持类产品：丝带、手链、鼓励卡、贴纸；敏感节点商业化要克制</x:v>
      </x:c>
      <x:c r="G72" s="41" t="str">
        <x:v>2026-03-21 ~ 2026-04-05：先确认产品真实匹配，避免硬蹭敏感议题。</x:v>
      </x:c>
      <x:c r="H72" s="41" t="str">
        <x:v>2026-05-05 ~ 2026-05-15：检查图片/文案/关键词是否克制且合规。</x:v>
      </x:c>
      <x:c r="I72" s="41" t="str">
        <x:v>2026-06-05 ~ 2026-06-19：每2-3天看；表现差或表达风险高就停。</x:v>
      </x:c>
      <x:c r="J72" s="41" t="str">
        <x:f>IF(AND(TODAY()&gt;=$L72,TODAY()&lt;=$M72),"节点进行中",IF(AND(TODAY()&gt;=$R72,TODAY()&lt;=$S72),"高频跟进",IF(AND(TODAY()&gt;=$P72,TODAY()&lt;=$Q72),"二次排查",IF(AND(TODAY()&gt;=$N72,TODAY()&lt;=$O72),"一次排查",IF(TODAY()&lt;$N72,"未到排查",IF(TODAY()&lt;$L72,"等待下一窗口","已过"))))))</x:f>
        <x:v>二次排查</x:v>
      </x:c>
      <x:c r="K72" s="41" t="str">
        <x:f>IF($J72="节点进行中","今天正在节点/销售窗口内：看销量、库存承接、广告花费、转化和是否需要控投/清尾。",IF($J72="高频跟进","今天在高频跟进窗口：头部SKU每日看；重点看高库存、高花费、断货风险和ACOS。",IF($J72="二次排查","今天在二次排查窗口：补广告结构、关键词/ASIN、预算和Listing埋词。",IF($J72="一次排查","今天在一次排查窗口：先筛SKU，看历史动销、库存、利润和Listing匹配。",IF($J72="未到排查","暂不处理，等一次排查窗口。",IF($J72="等待下一窗口","暂不在排查窗口；等高频或节点开始，除非有库存/广告异常。","已过：复盘、降投、清尾或沉淀明年节点。"))))))</x:f>
        <x:v>今天在二次排查窗口：补广告结构、关键词/ASIN、预算和Listing埋词。</x:v>
      </x:c>
      <x:c r="L72" s="42" t="n">
        <x:v>46192</x:v>
      </x:c>
      <x:c r="M72" s="42" t="n">
        <x:v>46192</x:v>
      </x:c>
      <x:c r="N72" s="42" t="n">
        <x:v>46102</x:v>
      </x:c>
      <x:c r="O72" s="42" t="n">
        <x:v>46117</x:v>
      </x:c>
      <x:c r="P72" s="42" t="n">
        <x:v>46147</x:v>
      </x:c>
      <x:c r="Q72" s="42" t="n">
        <x:v>46157</x:v>
      </x:c>
      <x:c r="R72" s="42" t="n">
        <x:v>46178</x:v>
      </x:c>
      <x:c r="S72" s="42" t="n">
        <x:v>46192</x:v>
      </x:c>
      <x:c r="T72" s="43" t="n">
        <x:f>$L72-TODAY()</x:f>
        <x:v>43</x:v>
      </x:c>
    </x:row>
    <x:row r="73" ht="42" hidden="0" customHeight="1">
      <x:c r="A73" s="41" t="str">
        <x:v>Father's Day</x:v>
      </x:c>
      <x:c r="B73" s="41" t="str">
        <x:v>父亲节</x:v>
      </x:c>
      <x:c r="C73" s="41" t="str">
        <x:v>父亲、爷爷、丈夫礼品节点，适合dad gift、garage、tool、Christian dad等方向。</x:v>
      </x:c>
      <x:c r="D73" s="41" t="str">
        <x:v>2026-06-21</x:v>
      </x:c>
      <x:c r="E73" s="41" t="str">
        <x:v>每年变动</x:v>
      </x:c>
      <x:c r="F73" s="41" t="str">
        <x:v>dad gifts、father keychain、工具/户外风小礼、感谢卡</x:v>
      </x:c>
      <x:c r="G73" s="41" t="str">
        <x:v>2026-02-21 ~ 2026-03-23：先看历史销量、库存/FBA承接、是否需要改Listing。</x:v>
      </x:c>
      <x:c r="H73" s="41" t="str">
        <x:v>2026-04-22 ~ 2026-05-07：广告结构、关键词/ASIN、标题主图必须基本到位。</x:v>
      </x:c>
      <x:c r="I73" s="41" t="str">
        <x:v>2026-05-31 ~ 2026-06-24：头部SKU每日看，过后及时降投/清尾。</x:v>
      </x:c>
      <x:c r="J73" s="41" t="str">
        <x:f>IF(AND(TODAY()&gt;=$L73,TODAY()&lt;=$M73),"节点进行中",IF(AND(TODAY()&gt;=$R73,TODAY()&lt;=$S73),"高频跟进",IF(AND(TODAY()&gt;=$P73,TODAY()&lt;=$Q73),"二次排查",IF(AND(TODAY()&gt;=$N73,TODAY()&lt;=$O73),"一次排查",IF(TODAY()&lt;$N73,"未到排查",IF(TODAY()&lt;$L73,"等待下一窗口","已过"))))))</x:f>
        <x:v>二次排查</x:v>
      </x:c>
      <x:c r="K73" s="41" t="str">
        <x:f>IF($J73="节点进行中","今天正在节点/销售窗口内：看销量、库存承接、广告花费、转化和是否需要控投/清尾。",IF($J73="高频跟进","今天在高频跟进窗口：头部SKU每日看；重点看高库存、高花费、断货风险和ACOS。",IF($J73="二次排查","今天在二次排查窗口：补广告结构、关键词/ASIN、预算和Listing埋词。",IF($J73="一次排查","今天在一次排查窗口：先筛SKU，看历史动销、库存、利润和Listing匹配。",IF($J73="未到排查","暂不处理，等一次排查窗口。",IF($J73="等待下一窗口","暂不在排查窗口；等高频或节点开始，除非有库存/广告异常。","已过：复盘、降投、清尾或沉淀明年节点。"))))))</x:f>
        <x:v>今天在二次排查窗口：补广告结构、关键词/ASIN、预算和Listing埋词。</x:v>
      </x:c>
      <x:c r="L73" s="42" t="n">
        <x:v>46194</x:v>
      </x:c>
      <x:c r="M73" s="42" t="n">
        <x:v>46194</x:v>
      </x:c>
      <x:c r="N73" s="42" t="n">
        <x:v>46074</x:v>
      </x:c>
      <x:c r="O73" s="42" t="n">
        <x:v>46104</x:v>
      </x:c>
      <x:c r="P73" s="42" t="n">
        <x:v>46134</x:v>
      </x:c>
      <x:c r="Q73" s="42" t="n">
        <x:v>46149</x:v>
      </x:c>
      <x:c r="R73" s="42" t="n">
        <x:v>46173</x:v>
      </x:c>
      <x:c r="S73" s="42" t="n">
        <x:v>46197</x:v>
      </x:c>
      <x:c r="T73" s="43" t="n">
        <x:f>$L73-TODAY()</x:f>
        <x:v>45</x:v>
      </x:c>
    </x:row>
    <x:row r="74" ht="42" hidden="0" customHeight="1">
      <x:c r="A74" s="41" t="str">
        <x:v>CNA Week / National Nursing Assistants Week</x:v>
      </x:c>
      <x:c r="B74" s="41" t="str">
        <x:v>CNA护理助理周/护理助理周</x:v>
      </x:c>
      <x:c r="C74" s="41" t="str">
        <x:v>表彰Certified Nursing Assistant等一线护理助理岗位。</x:v>
      </x:c>
      <x:c r="D74" s="41" t="str">
        <x:v>2026-06-11 ~ 2026-06-17</x:v>
      </x:c>
      <x:c r="E74" s="41" t="str">
        <x:v>每年变动</x:v>
      </x:c>
      <x:c r="F74" s="41" t="str">
        <x:v>CNA gifts、nursing assistant感谢礼、badge reel、钥匙扣</x:v>
      </x:c>
      <x:c r="G74" s="41" t="str">
        <x:v>2026-03-28 ~ 2026-04-12：按职业词筛SKU，核库存、历史动销和礼品适配。</x:v>
      </x:c>
      <x:c r="H74" s="41" t="str">
        <x:v>2026-05-02 ~ 2026-05-12：建/补广告组，补关键词/ASIN，处理低效流量。</x:v>
      </x:c>
      <x:c r="I74" s="41" t="str">
        <x:v>2026-05-28 ~ 2026-06-17：高库存/高花费SKU每日看，其余2-3天看。</x:v>
      </x:c>
      <x:c r="J74" s="41" t="str">
        <x:f>IF(AND(TODAY()&gt;=$L74,TODAY()&lt;=$M74),"节点进行中",IF(AND(TODAY()&gt;=$R74,TODAY()&lt;=$S74),"高频跟进",IF(AND(TODAY()&gt;=$P74,TODAY()&lt;=$Q74),"二次排查",IF(AND(TODAY()&gt;=$N74,TODAY()&lt;=$O74),"一次排查",IF(TODAY()&lt;$N74,"未到排查",IF(TODAY()&lt;$L74,"等待下一窗口","已过"))))))</x:f>
        <x:v>二次排查</x:v>
      </x:c>
      <x:c r="K74" s="41" t="str">
        <x:f>IF($J74="节点进行中","今天正在节点/销售窗口内：看销量、库存承接、广告花费、转化和是否需要控投/清尾。",IF($J74="高频跟进","今天在高频跟进窗口：头部SKU每日看；重点看高库存、高花费、断货风险和ACOS。",IF($J74="二次排查","今天在二次排查窗口：补广告结构、关键词/ASIN、预算和Listing埋词。",IF($J74="一次排查","今天在一次排查窗口：先筛SKU，看历史动销、库存、利润和Listing匹配。",IF($J74="未到排查","暂不处理，等一次排查窗口。",IF($J74="等待下一窗口","暂不在排查窗口；等高频或节点开始，除非有库存/广告异常。","已过：复盘、降投、清尾或沉淀明年节点。"))))))</x:f>
        <x:v>今天在二次排查窗口：补广告结构、关键词/ASIN、预算和Listing埋词。</x:v>
      </x:c>
      <x:c r="L74" s="42" t="n">
        <x:v>46184</x:v>
      </x:c>
      <x:c r="M74" s="42" t="n">
        <x:v>46190</x:v>
      </x:c>
      <x:c r="N74" s="42" t="n">
        <x:v>46109</x:v>
      </x:c>
      <x:c r="O74" s="42" t="n">
        <x:v>46124</x:v>
      </x:c>
      <x:c r="P74" s="42" t="n">
        <x:v>46144</x:v>
      </x:c>
      <x:c r="Q74" s="42" t="n">
        <x:v>46154</x:v>
      </x:c>
      <x:c r="R74" s="42" t="n">
        <x:v>46170</x:v>
      </x:c>
      <x:c r="S74" s="42" t="n">
        <x:v>46190</x:v>
      </x:c>
      <x:c r="T74" s="43" t="n">
        <x:f>$L74-TODAY()</x:f>
        <x:v>35</x:v>
      </x:c>
    </x:row>
    <x:row r="75" ht="42" hidden="0" customHeight="1">
      <x:c r="A75" s="41" t="str">
        <x:v>Independence Day</x:v>
      </x:c>
      <x:c r="B75" s="41" t="str">
        <x:v>美国独立日</x:v>
      </x:c>
      <x:c r="C75" s="41" t="str">
        <x:v>美国国庆主题节点，带动国旗、红白蓝、户外派对、装饰用品。</x:v>
      </x:c>
      <x:c r="D75" s="41" t="str">
        <x:v>2026-07-04</x:v>
      </x:c>
      <x:c r="E75" s="41" t="str">
        <x:v>固定日期</x:v>
      </x:c>
      <x:c r="F75" s="41" t="str">
        <x:v>patriotic gifts、USA旗帜元素、veteran/military thank you礼品、钥匙扣</x:v>
      </x:c>
      <x:c r="G75" s="41" t="str">
        <x:v>2026-03-06 ~ 2026-04-05：先看历史销量、库存/FBA承接、是否需要改Listing。</x:v>
      </x:c>
      <x:c r="H75" s="41" t="str">
        <x:v>2026-05-05 ~ 2026-05-20：广告结构、关键词/ASIN、标题主图必须基本到位。</x:v>
      </x:c>
      <x:c r="I75" s="41" t="str">
        <x:v>2026-06-13 ~ 2026-07-07：头部SKU每日看，过后及时降投/清尾。</x:v>
      </x:c>
      <x:c r="J75" s="41" t="str">
        <x:f>IF(AND(TODAY()&gt;=$L75,TODAY()&lt;=$M75),"节点进行中",IF(AND(TODAY()&gt;=$R75,TODAY()&lt;=$S75),"高频跟进",IF(AND(TODAY()&gt;=$P75,TODAY()&lt;=$Q75),"二次排查",IF(AND(TODAY()&gt;=$N75,TODAY()&lt;=$O75),"一次排查",IF(TODAY()&lt;$N75,"未到排查",IF(TODAY()&lt;$L75,"等待下一窗口","已过"))))))</x:f>
        <x:v>二次排查</x:v>
      </x:c>
      <x:c r="K75" s="41" t="str">
        <x:f>IF($J75="节点进行中","今天正在节点/销售窗口内：看销量、库存承接、广告花费、转化和是否需要控投/清尾。",IF($J75="高频跟进","今天在高频跟进窗口：头部SKU每日看；重点看高库存、高花费、断货风险和ACOS。",IF($J75="二次排查","今天在二次排查窗口：补广告结构、关键词/ASIN、预算和Listing埋词。",IF($J75="一次排查","今天在一次排查窗口：先筛SKU，看历史动销、库存、利润和Listing匹配。",IF($J75="未到排查","暂不处理，等一次排查窗口。",IF($J75="等待下一窗口","暂不在排查窗口；等高频或节点开始，除非有库存/广告异常。","已过：复盘、降投、清尾或沉淀明年节点。"))))))</x:f>
        <x:v>今天在二次排查窗口：补广告结构、关键词/ASIN、预算和Listing埋词。</x:v>
      </x:c>
      <x:c r="L75" s="42" t="n">
        <x:v>46207</x:v>
      </x:c>
      <x:c r="M75" s="42" t="n">
        <x:v>46207</x:v>
      </x:c>
      <x:c r="N75" s="42" t="n">
        <x:v>46087</x:v>
      </x:c>
      <x:c r="O75" s="42" t="n">
        <x:v>46117</x:v>
      </x:c>
      <x:c r="P75" s="42" t="n">
        <x:v>46147</x:v>
      </x:c>
      <x:c r="Q75" s="42" t="n">
        <x:v>46162</x:v>
      </x:c>
      <x:c r="R75" s="42" t="n">
        <x:v>46186</x:v>
      </x:c>
      <x:c r="S75" s="42" t="n">
        <x:v>46210</x:v>
      </x:c>
      <x:c r="T75" s="43" t="n">
        <x:f>$L75-TODAY()</x:f>
        <x:v>58</x:v>
      </x:c>
    </x:row>
    <x:row r="76" ht="42" hidden="0" customHeight="1">
      <x:c r="A76" s="41" t="str">
        <x:v>Friendship Day</x:v>
      </x:c>
      <x:c r="B76" s="41" t="str">
        <x:v>友谊日</x:v>
      </x:c>
      <x:c r="C76" s="41" t="str">
        <x:v>表达朋友之间感谢与陪伴的节点，适合best friend gifts、friendship bracelet、pocket hug。</x:v>
      </x:c>
      <x:c r="D76" s="41" t="str">
        <x:v>2026-08-02</x:v>
      </x:c>
      <x:c r="E76" s="41" t="str">
        <x:v>每年变动</x:v>
      </x:c>
      <x:c r="F76" s="41" t="str">
        <x:v>best friend gifts、friendship bracelet、pocket hug、友情卡</x:v>
      </x:c>
      <x:c r="G76" s="41" t="str">
        <x:v>2026-06-03 ~ 2026-06-18：先筛匹配SKU、历史销量、库存和利润空间。</x:v>
      </x:c>
      <x:c r="H76" s="41" t="str">
        <x:v>2026-07-03 ~ 2026-07-12：补关键词/ASIN、Listing埋词和广告预算。</x:v>
      </x:c>
      <x:c r="I76" s="41" t="str">
        <x:v>2026-07-19 ~ 2026-08-04：重点SKU每日看，普通SKU每2-3天看。</x:v>
      </x:c>
      <x:c r="J76" s="41" t="str">
        <x:f>IF(AND(TODAY()&gt;=$L76,TODAY()&lt;=$M76),"节点进行中",IF(AND(TODAY()&gt;=$R76,TODAY()&lt;=$S76),"高频跟进",IF(AND(TODAY()&gt;=$P76,TODAY()&lt;=$Q76),"二次排查",IF(AND(TODAY()&gt;=$N76,TODAY()&lt;=$O76),"一次排查",IF(TODAY()&lt;$N76,"未到排查",IF(TODAY()&lt;$L76,"等待下一窗口","已过"))))))</x:f>
        <x:v>未到排查</x:v>
      </x:c>
      <x:c r="K76" s="41" t="str">
        <x:f>IF($J76="节点进行中","今天正在节点/销售窗口内：看销量、库存承接、广告花费、转化和是否需要控投/清尾。",IF($J76="高频跟进","今天在高频跟进窗口：头部SKU每日看；重点看高库存、高花费、断货风险和ACOS。",IF($J76="二次排查","今天在二次排查窗口：补广告结构、关键词/ASIN、预算和Listing埋词。",IF($J76="一次排查","今天在一次排查窗口：先筛SKU，看历史动销、库存、利润和Listing匹配。",IF($J76="未到排查","暂不处理，等一次排查窗口。",IF($J76="等待下一窗口","暂不在排查窗口；等高频或节点开始，除非有库存/广告异常。","已过：复盘、降投、清尾或沉淀明年节点。"))))))</x:f>
        <x:v>暂不处理，等一次排查窗口。</x:v>
      </x:c>
      <x:c r="L76" s="42" t="n">
        <x:v>46236</x:v>
      </x:c>
      <x:c r="M76" s="42" t="n">
        <x:v>46236</x:v>
      </x:c>
      <x:c r="N76" s="42" t="n">
        <x:v>46176</x:v>
      </x:c>
      <x:c r="O76" s="42" t="n">
        <x:v>46191</x:v>
      </x:c>
      <x:c r="P76" s="42" t="n">
        <x:v>46206</x:v>
      </x:c>
      <x:c r="Q76" s="42" t="n">
        <x:v>46215</x:v>
      </x:c>
      <x:c r="R76" s="42" t="n">
        <x:v>46222</x:v>
      </x:c>
      <x:c r="S76" s="42" t="n">
        <x:v>46238</x:v>
      </x:c>
      <x:c r="T76" s="43" t="n">
        <x:f>$L76-TODAY()</x:f>
        <x:v>87</x:v>
      </x:c>
    </x:row>
    <x:row r="77" ht="42" hidden="0" customHeight="1">
      <x:c r="A77" s="41" t="str">
        <x:v>Women’s Equality Day</x:v>
      </x:c>
      <x:c r="B77" s="41" t="str">
        <x:v>女性平权日</x:v>
      </x:c>
      <x:c r="C77" s="41" t="str">
        <x:v>纪念美国女性获得宪法投票权，适合女性赋能、平权、affirmation类主题。</x:v>
      </x:c>
      <x:c r="D77" s="41" t="str">
        <x:v>2026-08-26</x:v>
      </x:c>
      <x:c r="E77" s="41" t="str">
        <x:v>固定日期</x:v>
      </x:c>
      <x:c r="F77" s="41" t="str">
        <x:v>意识/支持类产品：丝带、手链、鼓励卡、贴纸；敏感节点商业化要克制</x:v>
      </x:c>
      <x:c r="G77" s="41" t="str">
        <x:v>2026-05-28 ~ 2026-06-12：先确认产品真实匹配，避免硬蹭敏感议题。</x:v>
      </x:c>
      <x:c r="H77" s="41" t="str">
        <x:v>2026-07-12 ~ 2026-07-22：检查图片/文案/关键词是否克制且合规。</x:v>
      </x:c>
      <x:c r="I77" s="41" t="str">
        <x:v>2026-08-12 ~ 2026-08-26：每2-3天看；表现差或表达风险高就停。</x:v>
      </x:c>
      <x:c r="J77" s="41" t="str">
        <x:f>IF(AND(TODAY()&gt;=$L77,TODAY()&lt;=$M77),"节点进行中",IF(AND(TODAY()&gt;=$R77,TODAY()&lt;=$S77),"高频跟进",IF(AND(TODAY()&gt;=$P77,TODAY()&lt;=$Q77),"二次排查",IF(AND(TODAY()&gt;=$N77,TODAY()&lt;=$O77),"一次排查",IF(TODAY()&lt;$N77,"未到排查",IF(TODAY()&lt;$L77,"等待下一窗口","已过"))))))</x:f>
        <x:v>未到排查</x:v>
      </x:c>
      <x:c r="K77" s="41" t="str">
        <x:f>IF($J77="节点进行中","今天正在节点/销售窗口内：看销量、库存承接、广告花费、转化和是否需要控投/清尾。",IF($J77="高频跟进","今天在高频跟进窗口：头部SKU每日看；重点看高库存、高花费、断货风险和ACOS。",IF($J77="二次排查","今天在二次排查窗口：补广告结构、关键词/ASIN、预算和Listing埋词。",IF($J77="一次排查","今天在一次排查窗口：先筛SKU，看历史动销、库存、利润和Listing匹配。",IF($J77="未到排查","暂不处理，等一次排查窗口。",IF($J77="等待下一窗口","暂不在排查窗口；等高频或节点开始，除非有库存/广告异常。","已过：复盘、降投、清尾或沉淀明年节点。"))))))</x:f>
        <x:v>暂不处理，等一次排查窗口。</x:v>
      </x:c>
      <x:c r="L77" s="42" t="n">
        <x:v>46260</x:v>
      </x:c>
      <x:c r="M77" s="42" t="n">
        <x:v>46260</x:v>
      </x:c>
      <x:c r="N77" s="42" t="n">
        <x:v>46170</x:v>
      </x:c>
      <x:c r="O77" s="42" t="n">
        <x:v>46185</x:v>
      </x:c>
      <x:c r="P77" s="42" t="n">
        <x:v>46215</x:v>
      </x:c>
      <x:c r="Q77" s="42" t="n">
        <x:v>46225</x:v>
      </x:c>
      <x:c r="R77" s="42" t="n">
        <x:v>46246</x:v>
      </x:c>
      <x:c r="S77" s="42" t="n">
        <x:v>46260</x:v>
      </x:c>
      <x:c r="T77" s="43" t="n">
        <x:f>$L77-TODAY()</x:f>
        <x:v>111</x:v>
      </x:c>
    </x:row>
    <x:row r="78" ht="42" hidden="0" customHeight="1">
      <x:c r="A78" s="41" t="str">
        <x:v>Back-to-School Season</x:v>
      </x:c>
      <x:c r="B78" s="41" t="str">
        <x:v>返校季/开学季</x:v>
      </x:c>
      <x:c r="C78" s="41" t="str">
        <x:v>美国学校用品、教师用品、宿舍用品和收纳产品大窗口。</x:v>
      </x:c>
      <x:c r="D78" s="41" t="str">
        <x:v>2026-07-20 ~ 2026-09-10</x:v>
      </x:c>
      <x:c r="E78" s="41" t="str">
        <x:v>区间变动：按地区开学时间取常用销售窗口</x:v>
      </x:c>
      <x:c r="F78" s="41" t="str">
        <x:v>文具、书签、收纳、宿舍装饰、老师/学生礼、课堂用品</x:v>
      </x:c>
      <x:c r="G78" s="41" t="str">
        <x:v>2026-04-21 ~ 2026-05-05：看历史动销起点、库存承接、Listing是否匹配。</x:v>
      </x:c>
      <x:c r="H78" s="41" t="str">
        <x:v>2026-06-05 ~ 2026-06-19：完成关键词/ASIN/主图标题检查，低预算轻测。</x:v>
      </x:c>
      <x:c r="I78" s="41" t="str">
        <x:v>2026-07-06 ~ 2026-08-15：头部SKU每日看，普通SKU每周2次。</x:v>
      </x:c>
      <x:c r="J78" s="41" t="str">
        <x:f>IF(AND(TODAY()&gt;=$L78,TODAY()&lt;=$M78),"节点进行中",IF(AND(TODAY()&gt;=$R78,TODAY()&lt;=$S78),"高频跟进",IF(AND(TODAY()&gt;=$P78,TODAY()&lt;=$Q78),"二次排查",IF(AND(TODAY()&gt;=$N78,TODAY()&lt;=$O78),"一次排查",IF(TODAY()&lt;$N78,"未到排查",IF(TODAY()&lt;$L78,"等待下一窗口","已过"))))))</x:f>
        <x:v>等待下一窗口</x:v>
      </x:c>
      <x:c r="K78" s="41" t="str">
        <x:f>IF($J78="节点进行中","今天正在节点/销售窗口内：看销量、库存承接、广告花费、转化和是否需要控投/清尾。",IF($J78="高频跟进","今天在高频跟进窗口：头部SKU每日看；重点看高库存、高花费、断货风险和ACOS。",IF($J78="二次排查","今天在二次排查窗口：补广告结构、关键词/ASIN、预算和Listing埋词。",IF($J78="一次排查","今天在一次排查窗口：先筛SKU，看历史动销、库存、利润和Listing匹配。",IF($J78="未到排查","暂不处理，等一次排查窗口。",IF($J78="等待下一窗口","暂不在排查窗口；等高频或节点开始，除非有库存/广告异常。","已过：复盘、降投、清尾或沉淀明年节点。"))))))</x:f>
        <x:v>暂不在排查窗口；等高频或节点开始，除非有库存/广告异常。</x:v>
      </x:c>
      <x:c r="L78" s="42" t="n">
        <x:v>46223</x:v>
      </x:c>
      <x:c r="M78" s="42" t="n">
        <x:v>46275</x:v>
      </x:c>
      <x:c r="N78" s="42" t="n">
        <x:v>46133</x:v>
      </x:c>
      <x:c r="O78" s="42" t="n">
        <x:v>46147</x:v>
      </x:c>
      <x:c r="P78" s="42" t="n">
        <x:v>46178</x:v>
      </x:c>
      <x:c r="Q78" s="42" t="n">
        <x:v>46192</x:v>
      </x:c>
      <x:c r="R78" s="42" t="n">
        <x:v>46209</x:v>
      </x:c>
      <x:c r="S78" s="42" t="n">
        <x:v>46249</x:v>
      </x:c>
      <x:c r="T78" s="43" t="n">
        <x:f>$L78-TODAY()</x:f>
        <x:v>74</x:v>
      </x:c>
    </x:row>
    <x:row r="79" ht="42" hidden="0" customHeight="1">
      <x:c r="A79" s="41" t="str">
        <x:v>Football Season</x:v>
      </x:c>
      <x:c r="B79" s="41" t="str">
        <x:v>橄榄球赛季</x:v>
      </x:c>
      <x:c r="C79" s="41" t="str">
        <x:v>球队、tailgate、party、杯具和家居装饰需求窗口。</x:v>
      </x:c>
      <x:c r="D79" s="41" t="str">
        <x:v>2026-08-20 ~ 2027-02-15</x:v>
      </x:c>
      <x:c r="E79" s="41" t="str">
        <x:v>区间变动：跨年赛事季窗口</x:v>
      </x:c>
      <x:c r="F79" s="41" t="str">
        <x:v>派对装饰、杯具、观赛小物、球队色系配件、sports gifts</x:v>
      </x:c>
      <x:c r="G79" s="41" t="str">
        <x:v>2026-05-22 ~ 2026-06-05：看历史动销起点、库存承接、Listing是否匹配。</x:v>
      </x:c>
      <x:c r="H79" s="41" t="str">
        <x:v>2026-07-06 ~ 2026-07-20：完成关键词/ASIN/主图标题检查，低预算轻测。</x:v>
      </x:c>
      <x:c r="I79" s="41" t="str">
        <x:v>2026-08-06 ~ 2026-11-17：头部SKU每日看，普通SKU每周2次。</x:v>
      </x:c>
      <x:c r="J79" s="41" t="str">
        <x:f>IF(AND(TODAY()&gt;=$L79,TODAY()&lt;=$M79),"节点进行中",IF(AND(TODAY()&gt;=$R79,TODAY()&lt;=$S79),"高频跟进",IF(AND(TODAY()&gt;=$P79,TODAY()&lt;=$Q79),"二次排查",IF(AND(TODAY()&gt;=$N79,TODAY()&lt;=$O79),"一次排查",IF(TODAY()&lt;$N79,"未到排查",IF(TODAY()&lt;$L79,"等待下一窗口","已过"))))))</x:f>
        <x:v>未到排查</x:v>
      </x:c>
      <x:c r="K79" s="41" t="str">
        <x:f>IF($J79="节点进行中","今天正在节点/销售窗口内：看销量、库存承接、广告花费、转化和是否需要控投/清尾。",IF($J79="高频跟进","今天在高频跟进窗口：头部SKU每日看；重点看高库存、高花费、断货风险和ACOS。",IF($J79="二次排查","今天在二次排查窗口：补广告结构、关键词/ASIN、预算和Listing埋词。",IF($J79="一次排查","今天在一次排查窗口：先筛SKU，看历史动销、库存、利润和Listing匹配。",IF($J79="未到排查","暂不处理，等一次排查窗口。",IF($J79="等待下一窗口","暂不在排查窗口；等高频或节点开始，除非有库存/广告异常。","已过：复盘、降投、清尾或沉淀明年节点。"))))))</x:f>
        <x:v>暂不处理，等一次排查窗口。</x:v>
      </x:c>
      <x:c r="L79" s="42" t="n">
        <x:v>46254</x:v>
      </x:c>
      <x:c r="M79" s="42" t="n">
        <x:v>46433</x:v>
      </x:c>
      <x:c r="N79" s="42" t="n">
        <x:v>46164</x:v>
      </x:c>
      <x:c r="O79" s="42" t="n">
        <x:v>46178</x:v>
      </x:c>
      <x:c r="P79" s="42" t="n">
        <x:v>46209</x:v>
      </x:c>
      <x:c r="Q79" s="42" t="n">
        <x:v>46223</x:v>
      </x:c>
      <x:c r="R79" s="42" t="n">
        <x:v>46240</x:v>
      </x:c>
      <x:c r="S79" s="42" t="n">
        <x:v>46343</x:v>
      </x:c>
      <x:c r="T79" s="43" t="n">
        <x:f>$L79-TODAY()</x:f>
        <x:v>105</x:v>
      </x:c>
    </x:row>
    <x:row r="80" ht="42" hidden="0" customHeight="1">
      <x:c r="A80" s="41" t="str">
        <x:v>Labor Day</x:v>
      </x:c>
      <x:c r="B80" s="41" t="str">
        <x:v>美国劳动节</x:v>
      </x:c>
      <x:c r="C80" s="41" t="str">
        <x:v>美国夏季末尾大促节点，适合户外、家居、清仓和季节换档。</x:v>
      </x:c>
      <x:c r="D80" s="41" t="str">
        <x:v>2026-09-07</x:v>
      </x:c>
      <x:c r="E80" s="41" t="str">
        <x:v>每年变动</x:v>
      </x:c>
      <x:c r="F80" s="41" t="str">
        <x:v>全品类促销节点：重点看库存、价格、广告预算、清货/放量款</x:v>
      </x:c>
      <x:c r="G80" s="41" t="str">
        <x:v>2026-07-09 ~ 2026-07-24：盘库存、价格、毛利、滞销/可放量SKU。</x:v>
      </x:c>
      <x:c r="H80" s="41" t="str">
        <x:v>2026-08-17 ~ 2026-08-24：定折扣、预算上限、主推/清货名单。</x:v>
      </x:c>
      <x:c r="I80" s="41" t="str">
        <x:v>2026-08-31 ~ 2026-09-09：每日看利润、广告占比、断货和清货效果。</x:v>
      </x:c>
      <x:c r="J80" s="41" t="str">
        <x:f>IF(AND(TODAY()&gt;=$L80,TODAY()&lt;=$M80),"节点进行中",IF(AND(TODAY()&gt;=$R80,TODAY()&lt;=$S80),"高频跟进",IF(AND(TODAY()&gt;=$P80,TODAY()&lt;=$Q80),"二次排查",IF(AND(TODAY()&gt;=$N80,TODAY()&lt;=$O80),"一次排查",IF(TODAY()&lt;$N80,"未到排查",IF(TODAY()&lt;$L80,"等待下一窗口","已过"))))))</x:f>
        <x:v>未到排查</x:v>
      </x:c>
      <x:c r="K80" s="41" t="str">
        <x:f>IF($J80="节点进行中","今天正在节点/销售窗口内：看销量、库存承接、广告花费、转化和是否需要控投/清尾。",IF($J80="高频跟进","今天在高频跟进窗口：头部SKU每日看；重点看高库存、高花费、断货风险和ACOS。",IF($J80="二次排查","今天在二次排查窗口：补广告结构、关键词/ASIN、预算和Listing埋词。",IF($J80="一次排查","今天在一次排查窗口：先筛SKU，看历史动销、库存、利润和Listing匹配。",IF($J80="未到排查","暂不处理，等一次排查窗口。",IF($J80="等待下一窗口","暂不在排查窗口；等高频或节点开始，除非有库存/广告异常。","已过：复盘、降投、清尾或沉淀明年节点。"))))))</x:f>
        <x:v>暂不处理，等一次排查窗口。</x:v>
      </x:c>
      <x:c r="L80" s="42" t="n">
        <x:v>46272</x:v>
      </x:c>
      <x:c r="M80" s="42" t="n">
        <x:v>46272</x:v>
      </x:c>
      <x:c r="N80" s="42" t="n">
        <x:v>46212</x:v>
      </x:c>
      <x:c r="O80" s="42" t="n">
        <x:v>46227</x:v>
      </x:c>
      <x:c r="P80" s="42" t="n">
        <x:v>46251</x:v>
      </x:c>
      <x:c r="Q80" s="42" t="n">
        <x:v>46258</x:v>
      </x:c>
      <x:c r="R80" s="42" t="n">
        <x:v>46265</x:v>
      </x:c>
      <x:c r="S80" s="42" t="n">
        <x:v>46274</x:v>
      </x:c>
      <x:c r="T80" s="43" t="n">
        <x:f>$L80-TODAY()</x:f>
        <x:v>123</x:v>
      </x:c>
    </x:row>
    <x:row r="81" ht="42" hidden="0" customHeight="1">
      <x:c r="A81" s="41" t="str">
        <x:v>Grandparents Day</x:v>
      </x:c>
      <x:c r="B81" s="41" t="str">
        <x:v>祖父母节</x:v>
      </x:c>
      <x:c r="C81" s="41" t="str">
        <x:v>面向grandma/grandpa的礼品节点，适合家庭亲情、纪念类产品。</x:v>
      </x:c>
      <x:c r="D81" s="41" t="str">
        <x:v>2026-09-13</x:v>
      </x:c>
      <x:c r="E81" s="41" t="str">
        <x:v>每年变动</x:v>
      </x:c>
      <x:c r="F81" s="41" t="str">
        <x:v>grandma/grandpa gifts、相框、祝福卡、家庭纪念小礼</x:v>
      </x:c>
      <x:c r="G81" s="41" t="str">
        <x:v>2026-07-15 ~ 2026-07-30：先筛匹配SKU、历史销量、库存和利润空间。</x:v>
      </x:c>
      <x:c r="H81" s="41" t="str">
        <x:v>2026-08-14 ~ 2026-08-23：补关键词/ASIN、Listing埋词和广告预算。</x:v>
      </x:c>
      <x:c r="I81" s="41" t="str">
        <x:v>2026-08-30 ~ 2026-09-15：重点SKU每日看，普通SKU每2-3天看。</x:v>
      </x:c>
      <x:c r="J81" s="41" t="str">
        <x:f>IF(AND(TODAY()&gt;=$L81,TODAY()&lt;=$M81),"节点进行中",IF(AND(TODAY()&gt;=$R81,TODAY()&lt;=$S81),"高频跟进",IF(AND(TODAY()&gt;=$P81,TODAY()&lt;=$Q81),"二次排查",IF(AND(TODAY()&gt;=$N81,TODAY()&lt;=$O81),"一次排查",IF(TODAY()&lt;$N81,"未到排查",IF(TODAY()&lt;$L81,"等待下一窗口","已过"))))))</x:f>
        <x:v>未到排查</x:v>
      </x:c>
      <x:c r="K81" s="41" t="str">
        <x:f>IF($J81="节点进行中","今天正在节点/销售窗口内：看销量、库存承接、广告花费、转化和是否需要控投/清尾。",IF($J81="高频跟进","今天在高频跟进窗口：头部SKU每日看；重点看高库存、高花费、断货风险和ACOS。",IF($J81="二次排查","今天在二次排查窗口：补广告结构、关键词/ASIN、预算和Listing埋词。",IF($J81="一次排查","今天在一次排查窗口：先筛SKU，看历史动销、库存、利润和Listing匹配。",IF($J81="未到排查","暂不处理，等一次排查窗口。",IF($J81="等待下一窗口","暂不在排查窗口；等高频或节点开始，除非有库存/广告异常。","已过：复盘、降投、清尾或沉淀明年节点。"))))))</x:f>
        <x:v>暂不处理，等一次排查窗口。</x:v>
      </x:c>
      <x:c r="L81" s="42" t="n">
        <x:v>46278</x:v>
      </x:c>
      <x:c r="M81" s="42" t="n">
        <x:v>46278</x:v>
      </x:c>
      <x:c r="N81" s="42" t="n">
        <x:v>46218</x:v>
      </x:c>
      <x:c r="O81" s="42" t="n">
        <x:v>46233</x:v>
      </x:c>
      <x:c r="P81" s="42" t="n">
        <x:v>46248</x:v>
      </x:c>
      <x:c r="Q81" s="42" t="n">
        <x:v>46257</x:v>
      </x:c>
      <x:c r="R81" s="42" t="n">
        <x:v>46264</x:v>
      </x:c>
      <x:c r="S81" s="42" t="n">
        <x:v>46280</x:v>
      </x:c>
      <x:c r="T81" s="43" t="n">
        <x:f>$L81-TODAY()</x:f>
        <x:v>129</x:v>
      </x:c>
    </x:row>
    <x:row r="82" ht="42" hidden="0" customHeight="1">
      <x:c r="A82" s="41" t="str">
        <x:v>Suicide Prevention Month</x:v>
      </x:c>
      <x:c r="B82" s="41" t="str">
        <x:v>自杀预防月</x:v>
      </x:c>
      <x:c r="C82" s="41" t="str">
        <x:v>关注自杀预防、心理支持和求助意识，适合support、you matter等产品但营销要非常克制。</x:v>
      </x:c>
      <x:c r="D82" s="41" t="str">
        <x:v>2026-09-01 ~ 2026-09-30</x:v>
      </x:c>
      <x:c r="E82" s="41" t="str">
        <x:v>固定月份</x:v>
      </x:c>
      <x:c r="F82" s="41" t="str">
        <x:v>意识/支持类产品：丝带、手链、鼓励卡、贴纸；敏感节点商业化要克制</x:v>
      </x:c>
      <x:c r="G82" s="41" t="str">
        <x:v>2026-06-03 ~ 2026-06-18：先确认产品真实匹配，避免硬蹭敏感议题。</x:v>
      </x:c>
      <x:c r="H82" s="41" t="str">
        <x:v>2026-07-18 ~ 2026-07-28：检查图片/文案/关键词是否克制且合规。</x:v>
      </x:c>
      <x:c r="I82" s="41" t="str">
        <x:v>2026-08-18 ~ 2026-09-15：每2-3天看；表现差或表达风险高就停。</x:v>
      </x:c>
      <x:c r="J82" s="41" t="str">
        <x:f>IF(AND(TODAY()&gt;=$L82,TODAY()&lt;=$M82),"节点进行中",IF(AND(TODAY()&gt;=$R82,TODAY()&lt;=$S82),"高频跟进",IF(AND(TODAY()&gt;=$P82,TODAY()&lt;=$Q82),"二次排查",IF(AND(TODAY()&gt;=$N82,TODAY()&lt;=$O82),"一次排查",IF(TODAY()&lt;$N82,"未到排查",IF(TODAY()&lt;$L82,"等待下一窗口","已过"))))))</x:f>
        <x:v>未到排查</x:v>
      </x:c>
      <x:c r="K82" s="41" t="str">
        <x:f>IF($J82="节点进行中","今天正在节点/销售窗口内：看销量、库存承接、广告花费、转化和是否需要控投/清尾。",IF($J82="高频跟进","今天在高频跟进窗口：头部SKU每日看；重点看高库存、高花费、断货风险和ACOS。",IF($J82="二次排查","今天在二次排查窗口：补广告结构、关键词/ASIN、预算和Listing埋词。",IF($J82="一次排查","今天在一次排查窗口：先筛SKU，看历史动销、库存、利润和Listing匹配。",IF($J82="未到排查","暂不处理，等一次排查窗口。",IF($J82="等待下一窗口","暂不在排查窗口；等高频或节点开始，除非有库存/广告异常。","已过：复盘、降投、清尾或沉淀明年节点。"))))))</x:f>
        <x:v>暂不处理，等一次排查窗口。</x:v>
      </x:c>
      <x:c r="L82" s="42" t="n">
        <x:v>46266</x:v>
      </x:c>
      <x:c r="M82" s="42" t="n">
        <x:v>46295</x:v>
      </x:c>
      <x:c r="N82" s="42" t="n">
        <x:v>46176</x:v>
      </x:c>
      <x:c r="O82" s="42" t="n">
        <x:v>46191</x:v>
      </x:c>
      <x:c r="P82" s="42" t="n">
        <x:v>46221</x:v>
      </x:c>
      <x:c r="Q82" s="42" t="n">
        <x:v>46231</x:v>
      </x:c>
      <x:c r="R82" s="42" t="n">
        <x:v>46252</x:v>
      </x:c>
      <x:c r="S82" s="42" t="n">
        <x:v>46280</x:v>
      </x:c>
      <x:c r="T82" s="43" t="n">
        <x:f>$L82-TODAY()</x:f>
        <x:v>117</x:v>
      </x:c>
    </x:row>
    <x:row r="83" ht="42" hidden="0" customHeight="1">
      <x:c r="A83" s="41" t="str">
        <x:v>World Suicide Prevention Day</x:v>
      </x:c>
      <x:c r="B83" s="41" t="str">
        <x:v>世界自杀预防日</x:v>
      </x:c>
      <x:c r="C83" s="41" t="str">
        <x:v>全球聚焦自杀预防和心理健康支持的单日节点，适合公益和支持性表达。</x:v>
      </x:c>
      <x:c r="D83" s="41" t="str">
        <x:v>2026-09-10</x:v>
      </x:c>
      <x:c r="E83" s="41" t="str">
        <x:v>固定日期</x:v>
      </x:c>
      <x:c r="F83" s="41" t="str">
        <x:v>意识/支持类产品：丝带、手链、鼓励卡、贴纸；敏感节点商业化要克制</x:v>
      </x:c>
      <x:c r="G83" s="41" t="str">
        <x:v>2026-06-12 ~ 2026-06-27：先确认产品真实匹配，避免硬蹭敏感议题。</x:v>
      </x:c>
      <x:c r="H83" s="41" t="str">
        <x:v>2026-07-27 ~ 2026-08-06：检查图片/文案/关键词是否克制且合规。</x:v>
      </x:c>
      <x:c r="I83" s="41" t="str">
        <x:v>2026-08-27 ~ 2026-09-10：每2-3天看；表现差或表达风险高就停。</x:v>
      </x:c>
      <x:c r="J83" s="41" t="str">
        <x:f>IF(AND(TODAY()&gt;=$L83,TODAY()&lt;=$M83),"节点进行中",IF(AND(TODAY()&gt;=$R83,TODAY()&lt;=$S83),"高频跟进",IF(AND(TODAY()&gt;=$P83,TODAY()&lt;=$Q83),"二次排查",IF(AND(TODAY()&gt;=$N83,TODAY()&lt;=$O83),"一次排查",IF(TODAY()&lt;$N83,"未到排查",IF(TODAY()&lt;$L83,"等待下一窗口","已过"))))))</x:f>
        <x:v>未到排查</x:v>
      </x:c>
      <x:c r="K83" s="41" t="str">
        <x:f>IF($J83="节点进行中","今天正在节点/销售窗口内：看销量、库存承接、广告花费、转化和是否需要控投/清尾。",IF($J83="高频跟进","今天在高频跟进窗口：头部SKU每日看；重点看高库存、高花费、断货风险和ACOS。",IF($J83="二次排查","今天在二次排查窗口：补广告结构、关键词/ASIN、预算和Listing埋词。",IF($J83="一次排查","今天在一次排查窗口：先筛SKU，看历史动销、库存、利润和Listing匹配。",IF($J83="未到排查","暂不处理，等一次排查窗口。",IF($J83="等待下一窗口","暂不在排查窗口；等高频或节点开始，除非有库存/广告异常。","已过：复盘、降投、清尾或沉淀明年节点。"))))))</x:f>
        <x:v>暂不处理，等一次排查窗口。</x:v>
      </x:c>
      <x:c r="L83" s="42" t="n">
        <x:v>46275</x:v>
      </x:c>
      <x:c r="M83" s="42" t="n">
        <x:v>46275</x:v>
      </x:c>
      <x:c r="N83" s="42" t="n">
        <x:v>46185</x:v>
      </x:c>
      <x:c r="O83" s="42" t="n">
        <x:v>46200</x:v>
      </x:c>
      <x:c r="P83" s="42" t="n">
        <x:v>46230</x:v>
      </x:c>
      <x:c r="Q83" s="42" t="n">
        <x:v>46240</x:v>
      </x:c>
      <x:c r="R83" s="42" t="n">
        <x:v>46261</x:v>
      </x:c>
      <x:c r="S83" s="42" t="n">
        <x:v>46275</x:v>
      </x:c>
      <x:c r="T83" s="43" t="n">
        <x:f>$L83-TODAY()</x:f>
        <x:v>126</x:v>
      </x:c>
    </x:row>
    <x:row r="84" ht="42" hidden="0" customHeight="1">
      <x:c r="A84" s="41" t="str">
        <x:v>Childhood Cancer Awareness Month</x:v>
      </x:c>
      <x:c r="B84" s="41" t="str">
        <x:v>儿童癌症关注月</x:v>
      </x:c>
      <x:c r="C84" s="41" t="str">
        <x:v>以金丝带为代表的儿童癌症意识节点，适合公益支持类产品。</x:v>
      </x:c>
      <x:c r="D84" s="41" t="str">
        <x:v>2026-09-01 ~ 2026-09-30</x:v>
      </x:c>
      <x:c r="E84" s="41" t="str">
        <x:v>固定月份</x:v>
      </x:c>
      <x:c r="F84" s="41" t="str">
        <x:v>意识/支持类产品：丝带、手链、鼓励卡、贴纸；敏感节点商业化要克制</x:v>
      </x:c>
      <x:c r="G84" s="41" t="str">
        <x:v>2026-06-03 ~ 2026-06-18：先确认产品真实匹配，避免硬蹭敏感议题。</x:v>
      </x:c>
      <x:c r="H84" s="41" t="str">
        <x:v>2026-07-18 ~ 2026-07-28：检查图片/文案/关键词是否克制且合规。</x:v>
      </x:c>
      <x:c r="I84" s="41" t="str">
        <x:v>2026-08-18 ~ 2026-09-15：每2-3天看；表现差或表达风险高就停。</x:v>
      </x:c>
      <x:c r="J84" s="41" t="str">
        <x:f>IF(AND(TODAY()&gt;=$L84,TODAY()&lt;=$M84),"节点进行中",IF(AND(TODAY()&gt;=$R84,TODAY()&lt;=$S84),"高频跟进",IF(AND(TODAY()&gt;=$P84,TODAY()&lt;=$Q84),"二次排查",IF(AND(TODAY()&gt;=$N84,TODAY()&lt;=$O84),"一次排查",IF(TODAY()&lt;$N84,"未到排查",IF(TODAY()&lt;$L84,"等待下一窗口","已过"))))))</x:f>
        <x:v>未到排查</x:v>
      </x:c>
      <x:c r="K84" s="41" t="str">
        <x:f>IF($J84="节点进行中","今天正在节点/销售窗口内：看销量、库存承接、广告花费、转化和是否需要控投/清尾。",IF($J84="高频跟进","今天在高频跟进窗口：头部SKU每日看；重点看高库存、高花费、断货风险和ACOS。",IF($J84="二次排查","今天在二次排查窗口：补广告结构、关键词/ASIN、预算和Listing埋词。",IF($J84="一次排查","今天在一次排查窗口：先筛SKU，看历史动销、库存、利润和Listing匹配。",IF($J84="未到排查","暂不处理，等一次排查窗口。",IF($J84="等待下一窗口","暂不在排查窗口；等高频或节点开始，除非有库存/广告异常。","已过：复盘、降投、清尾或沉淀明年节点。"))))))</x:f>
        <x:v>暂不处理，等一次排查窗口。</x:v>
      </x:c>
      <x:c r="L84" s="42" t="n">
        <x:v>46266</x:v>
      </x:c>
      <x:c r="M84" s="42" t="n">
        <x:v>46295</x:v>
      </x:c>
      <x:c r="N84" s="42" t="n">
        <x:v>46176</x:v>
      </x:c>
      <x:c r="O84" s="42" t="n">
        <x:v>46191</x:v>
      </x:c>
      <x:c r="P84" s="42" t="n">
        <x:v>46221</x:v>
      </x:c>
      <x:c r="Q84" s="42" t="n">
        <x:v>46231</x:v>
      </x:c>
      <x:c r="R84" s="42" t="n">
        <x:v>46252</x:v>
      </x:c>
      <x:c r="S84" s="42" t="n">
        <x:v>46280</x:v>
      </x:c>
      <x:c r="T84" s="43" t="n">
        <x:f>$L84-TODAY()</x:f>
        <x:v>117</x:v>
      </x:c>
    </x:row>
    <x:row r="85" ht="42" hidden="0" customHeight="1">
      <x:c r="A85" s="41" t="str">
        <x:v>DSP Appreciation Week</x:v>
      </x:c>
      <x:c r="B85" s="41" t="str">
        <x:v>直接支持专业人员感谢周</x:v>
      </x:c>
      <x:c r="C85" s="41" t="str">
        <x:v>表彰残障/长期护理服务中的直接支持人员，适合DSP感谢礼。</x:v>
      </x:c>
      <x:c r="D85" s="41" t="str">
        <x:v>2026-09-13 ~ 2026-09-19</x:v>
      </x:c>
      <x:c r="E85" s="41" t="str">
        <x:v>每年变动</x:v>
      </x:c>
      <x:c r="F85" s="41" t="str">
        <x:v>DSP appreciation gifts、direct support professional感谢卡/钥匙扣</x:v>
      </x:c>
      <x:c r="G85" s="41" t="str">
        <x:v>2026-06-30 ~ 2026-07-15：按职业词筛SKU，核库存、历史动销和礼品适配。</x:v>
      </x:c>
      <x:c r="H85" s="41" t="str">
        <x:v>2026-08-04 ~ 2026-08-14：建/补广告组，补关键词/ASIN，处理低效流量。</x:v>
      </x:c>
      <x:c r="I85" s="41" t="str">
        <x:v>2026-08-30 ~ 2026-09-19：高库存/高花费SKU每日看，其余2-3天看。</x:v>
      </x:c>
      <x:c r="J85" s="41" t="str">
        <x:f>IF(AND(TODAY()&gt;=$L85,TODAY()&lt;=$M85),"节点进行中",IF(AND(TODAY()&gt;=$R85,TODAY()&lt;=$S85),"高频跟进",IF(AND(TODAY()&gt;=$P85,TODAY()&lt;=$Q85),"二次排查",IF(AND(TODAY()&gt;=$N85,TODAY()&lt;=$O85),"一次排查",IF(TODAY()&lt;$N85,"未到排查",IF(TODAY()&lt;$L85,"等待下一窗口","已过"))))))</x:f>
        <x:v>未到排查</x:v>
      </x:c>
      <x:c r="K85" s="41" t="str">
        <x:f>IF($J85="节点进行中","今天正在节点/销售窗口内：看销量、库存承接、广告花费、转化和是否需要控投/清尾。",IF($J85="高频跟进","今天在高频跟进窗口：头部SKU每日看；重点看高库存、高花费、断货风险和ACOS。",IF($J85="二次排查","今天在二次排查窗口：补广告结构、关键词/ASIN、预算和Listing埋词。",IF($J85="一次排查","今天在一次排查窗口：先筛SKU，看历史动销、库存、利润和Listing匹配。",IF($J85="未到排查","暂不处理，等一次排查窗口。",IF($J85="等待下一窗口","暂不在排查窗口；等高频或节点开始，除非有库存/广告异常。","已过：复盘、降投、清尾或沉淀明年节点。"))))))</x:f>
        <x:v>暂不处理，等一次排查窗口。</x:v>
      </x:c>
      <x:c r="L85" s="42" t="n">
        <x:v>46278</x:v>
      </x:c>
      <x:c r="M85" s="42" t="n">
        <x:v>46284</x:v>
      </x:c>
      <x:c r="N85" s="42" t="n">
        <x:v>46203</x:v>
      </x:c>
      <x:c r="O85" s="42" t="n">
        <x:v>46218</x:v>
      </x:c>
      <x:c r="P85" s="42" t="n">
        <x:v>46238</x:v>
      </x:c>
      <x:c r="Q85" s="42" t="n">
        <x:v>46248</x:v>
      </x:c>
      <x:c r="R85" s="42" t="n">
        <x:v>46264</x:v>
      </x:c>
      <x:c r="S85" s="42" t="n">
        <x:v>46284</x:v>
      </x:c>
      <x:c r="T85" s="43" t="n">
        <x:f>$L85-TODAY()</x:f>
        <x:v>129</x:v>
      </x:c>
    </x:row>
    <x:row r="86" ht="42" hidden="0" customHeight="1">
      <x:c r="A86" s="41" t="str">
        <x:v>Housekeeping Week</x:v>
      </x:c>
      <x:c r="B86" s="41" t="str">
        <x:v>客房/保洁人员周</x:v>
      </x:c>
      <x:c r="C86" s="41" t="str">
        <x:v>表彰酒店、医院、机构保洁和客房服务人员，适合housekeeping gifts。</x:v>
      </x:c>
      <x:c r="D86" s="41" t="str">
        <x:v>2026-09-13 ~ 2026-09-19</x:v>
      </x:c>
      <x:c r="E86" s="41" t="str">
        <x:v>每年变动</x:v>
      </x:c>
      <x:c r="F86" s="41" t="str">
        <x:v>hospital staff gifts、healthcare worker bulk gifts、感谢卡/钥匙扣</x:v>
      </x:c>
      <x:c r="G86" s="41" t="str">
        <x:v>2026-06-30 ~ 2026-07-15：按职业词筛SKU，核库存、历史动销和礼品适配。</x:v>
      </x:c>
      <x:c r="H86" s="41" t="str">
        <x:v>2026-08-04 ~ 2026-08-14：建/补广告组，补关键词/ASIN，处理低效流量。</x:v>
      </x:c>
      <x:c r="I86" s="41" t="str">
        <x:v>2026-08-30 ~ 2026-09-19：高库存/高花费SKU每日看，其余2-3天看。</x:v>
      </x:c>
      <x:c r="J86" s="41" t="str">
        <x:f>IF(AND(TODAY()&gt;=$L86,TODAY()&lt;=$M86),"节点进行中",IF(AND(TODAY()&gt;=$R86,TODAY()&lt;=$S86),"高频跟进",IF(AND(TODAY()&gt;=$P86,TODAY()&lt;=$Q86),"二次排查",IF(AND(TODAY()&gt;=$N86,TODAY()&lt;=$O86),"一次排查",IF(TODAY()&lt;$N86,"未到排查",IF(TODAY()&lt;$L86,"等待下一窗口","已过"))))))</x:f>
        <x:v>未到排查</x:v>
      </x:c>
      <x:c r="K86" s="41" t="str">
        <x:f>IF($J86="节点进行中","今天正在节点/销售窗口内：看销量、库存承接、广告花费、转化和是否需要控投/清尾。",IF($J86="高频跟进","今天在高频跟进窗口：头部SKU每日看；重点看高库存、高花费、断货风险和ACOS。",IF($J86="二次排查","今天在二次排查窗口：补广告结构、关键词/ASIN、预算和Listing埋词。",IF($J86="一次排查","今天在一次排查窗口：先筛SKU，看历史动销、库存、利润和Listing匹配。",IF($J86="未到排查","暂不处理，等一次排查窗口。",IF($J86="等待下一窗口","暂不在排查窗口；等高频或节点开始，除非有库存/广告异常。","已过：复盘、降投、清尾或沉淀明年节点。"))))))</x:f>
        <x:v>暂不处理，等一次排查窗口。</x:v>
      </x:c>
      <x:c r="L86" s="42" t="n">
        <x:v>46278</x:v>
      </x:c>
      <x:c r="M86" s="42" t="n">
        <x:v>46284</x:v>
      </x:c>
      <x:c r="N86" s="42" t="n">
        <x:v>46203</x:v>
      </x:c>
      <x:c r="O86" s="42" t="n">
        <x:v>46218</x:v>
      </x:c>
      <x:c r="P86" s="42" t="n">
        <x:v>46238</x:v>
      </x:c>
      <x:c r="Q86" s="42" t="n">
        <x:v>46248</x:v>
      </x:c>
      <x:c r="R86" s="42" t="n">
        <x:v>46264</x:v>
      </x:c>
      <x:c r="S86" s="42" t="n">
        <x:v>46284</x:v>
      </x:c>
      <x:c r="T86" s="43" t="n">
        <x:f>$L86-TODAY()</x:f>
        <x:v>129</x:v>
      </x:c>
    </x:row>
    <x:row r="87" ht="42" hidden="0" customHeight="1">
      <x:c r="A87" s="41" t="str">
        <x:v>Environmental Services Week</x:v>
      </x:c>
      <x:c r="B87" s="41" t="str">
        <x:v>环境服务/医院保洁周</x:v>
      </x:c>
      <x:c r="C87" s="41" t="str">
        <x:v>医疗机构EVS团队感谢节点，适合EVS、housekeeping、thank you mug等。</x:v>
      </x:c>
      <x:c r="D87" s="41" t="str">
        <x:v>2026-09-13 ~ 2026-09-19</x:v>
      </x:c>
      <x:c r="E87" s="41" t="str">
        <x:v>每年变动</x:v>
      </x:c>
      <x:c r="F87" s="41" t="str">
        <x:v>hospital staff gifts、healthcare worker bulk gifts、感谢卡/钥匙扣</x:v>
      </x:c>
      <x:c r="G87" s="41" t="str">
        <x:v>2026-06-30 ~ 2026-07-15：按职业词筛SKU，核库存、历史动销和礼品适配。</x:v>
      </x:c>
      <x:c r="H87" s="41" t="str">
        <x:v>2026-08-04 ~ 2026-08-14：建/补广告组，补关键词/ASIN，处理低效流量。</x:v>
      </x:c>
      <x:c r="I87" s="41" t="str">
        <x:v>2026-08-30 ~ 2026-09-19：高库存/高花费SKU每日看，其余2-3天看。</x:v>
      </x:c>
      <x:c r="J87" s="41" t="str">
        <x:f>IF(AND(TODAY()&gt;=$L87,TODAY()&lt;=$M87),"节点进行中",IF(AND(TODAY()&gt;=$R87,TODAY()&lt;=$S87),"高频跟进",IF(AND(TODAY()&gt;=$P87,TODAY()&lt;=$Q87),"二次排查",IF(AND(TODAY()&gt;=$N87,TODAY()&lt;=$O87),"一次排查",IF(TODAY()&lt;$N87,"未到排查",IF(TODAY()&lt;$L87,"等待下一窗口","已过"))))))</x:f>
        <x:v>未到排查</x:v>
      </x:c>
      <x:c r="K87" s="41" t="str">
        <x:f>IF($J87="节点进行中","今天正在节点/销售窗口内：看销量、库存承接、广告花费、转化和是否需要控投/清尾。",IF($J87="高频跟进","今天在高频跟进窗口：头部SKU每日看；重点看高库存、高花费、断货风险和ACOS。",IF($J87="二次排查","今天在二次排查窗口：补广告结构、关键词/ASIN、预算和Listing埋词。",IF($J87="一次排查","今天在一次排查窗口：先筛SKU，看历史动销、库存、利润和Listing匹配。",IF($J87="未到排查","暂不处理，等一次排查窗口。",IF($J87="等待下一窗口","暂不在排查窗口；等高频或节点开始，除非有库存/广告异常。","已过：复盘、降投、清尾或沉淀明年节点。"))))))</x:f>
        <x:v>暂不处理，等一次排查窗口。</x:v>
      </x:c>
      <x:c r="L87" s="42" t="n">
        <x:v>46278</x:v>
      </x:c>
      <x:c r="M87" s="42" t="n">
        <x:v>46284</x:v>
      </x:c>
      <x:c r="N87" s="42" t="n">
        <x:v>46203</x:v>
      </x:c>
      <x:c r="O87" s="42" t="n">
        <x:v>46218</x:v>
      </x:c>
      <x:c r="P87" s="42" t="n">
        <x:v>46238</x:v>
      </x:c>
      <x:c r="Q87" s="42" t="n">
        <x:v>46248</x:v>
      </x:c>
      <x:c r="R87" s="42" t="n">
        <x:v>46264</x:v>
      </x:c>
      <x:c r="S87" s="42" t="n">
        <x:v>46284</x:v>
      </x:c>
      <x:c r="T87" s="43" t="n">
        <x:f>$L87-TODAY()</x:f>
        <x:v>129</x:v>
      </x:c>
    </x:row>
    <x:row r="88" ht="42" hidden="0" customHeight="1">
      <x:c r="A88" s="41" t="str">
        <x:v>Truck Driver Appreciation Week</x:v>
      </x:c>
      <x:c r="B88" s="41" t="str">
        <x:v>卡车司机感谢周</x:v>
      </x:c>
      <x:c r="C88" s="41" t="str">
        <x:v>表彰卡车司机和物流从业者，适合driver appreciation礼品。</x:v>
      </x:c>
      <x:c r="D88" s="41" t="str">
        <x:v>2026-09-13 ~ 2026-09-19</x:v>
      </x:c>
      <x:c r="E88" s="41" t="str">
        <x:v>每年变动</x:v>
      </x:c>
      <x:c r="F88" s="41" t="str">
        <x:v>truck driver gifts、trucker keychain、道路/卡车元素小礼</x:v>
      </x:c>
      <x:c r="G88" s="41" t="str">
        <x:v>2026-06-30 ~ 2026-07-15：按职业词筛SKU，核库存、历史动销和礼品适配。</x:v>
      </x:c>
      <x:c r="H88" s="41" t="str">
        <x:v>2026-08-04 ~ 2026-08-14：建/补广告组，补关键词/ASIN，处理低效流量。</x:v>
      </x:c>
      <x:c r="I88" s="41" t="str">
        <x:v>2026-08-30 ~ 2026-09-19：高库存/高花费SKU每日看，其余2-3天看。</x:v>
      </x:c>
      <x:c r="J88" s="41" t="str">
        <x:f>IF(AND(TODAY()&gt;=$L88,TODAY()&lt;=$M88),"节点进行中",IF(AND(TODAY()&gt;=$R88,TODAY()&lt;=$S88),"高频跟进",IF(AND(TODAY()&gt;=$P88,TODAY()&lt;=$Q88),"二次排查",IF(AND(TODAY()&gt;=$N88,TODAY()&lt;=$O88),"一次排查",IF(TODAY()&lt;$N88,"未到排查",IF(TODAY()&lt;$L88,"等待下一窗口","已过"))))))</x:f>
        <x:v>未到排查</x:v>
      </x:c>
      <x:c r="K88" s="41" t="str">
        <x:f>IF($J88="节点进行中","今天正在节点/销售窗口内：看销量、库存承接、广告花费、转化和是否需要控投/清尾。",IF($J88="高频跟进","今天在高频跟进窗口：头部SKU每日看；重点看高库存、高花费、断货风险和ACOS。",IF($J88="二次排查","今天在二次排查窗口：补广告结构、关键词/ASIN、预算和Listing埋词。",IF($J88="一次排查","今天在一次排查窗口：先筛SKU，看历史动销、库存、利润和Listing匹配。",IF($J88="未到排查","暂不处理，等一次排查窗口。",IF($J88="等待下一窗口","暂不在排查窗口；等高频或节点开始，除非有库存/广告异常。","已过：复盘、降投、清尾或沉淀明年节点。"))))))</x:f>
        <x:v>暂不处理，等一次排查窗口。</x:v>
      </x:c>
      <x:c r="L88" s="42" t="n">
        <x:v>46278</x:v>
      </x:c>
      <x:c r="M88" s="42" t="n">
        <x:v>46284</x:v>
      </x:c>
      <x:c r="N88" s="42" t="n">
        <x:v>46203</x:v>
      </x:c>
      <x:c r="O88" s="42" t="n">
        <x:v>46218</x:v>
      </x:c>
      <x:c r="P88" s="42" t="n">
        <x:v>46238</x:v>
      </x:c>
      <x:c r="Q88" s="42" t="n">
        <x:v>46248</x:v>
      </x:c>
      <x:c r="R88" s="42" t="n">
        <x:v>46264</x:v>
      </x:c>
      <x:c r="S88" s="42" t="n">
        <x:v>46284</x:v>
      </x:c>
      <x:c r="T88" s="43" t="n">
        <x:f>$L88-TODAY()</x:f>
        <x:v>129</x:v>
      </x:c>
    </x:row>
    <x:row r="89" ht="42" hidden="0" customHeight="1">
      <x:c r="A89" s="41" t="str">
        <x:v>Hispanic Heritage Month</x:v>
      </x:c>
      <x:c r="B89" s="41" t="str">
        <x:v>西班牙裔传统月</x:v>
      </x:c>
      <x:c r="C89" s="41" t="str">
        <x:v>庆祝西班牙裔美国人的历史、文化与贡献，适合Spanish gifts、Latina gifts、文化教育主题。</x:v>
      </x:c>
      <x:c r="D89" s="41" t="str">
        <x:v>2026-09-15 ~ 2026-10-15</x:v>
      </x:c>
      <x:c r="E89" s="41" t="str">
        <x:v>固定区间</x:v>
      </x:c>
      <x:c r="F89" s="41" t="str">
        <x:v>意识/支持类产品：丝带、手链、鼓励卡、贴纸；敏感节点商业化要克制</x:v>
      </x:c>
      <x:c r="G89" s="41" t="str">
        <x:v>2026-06-17 ~ 2026-07-02：先确认产品真实匹配，避免硬蹭敏感议题。</x:v>
      </x:c>
      <x:c r="H89" s="41" t="str">
        <x:v>2026-08-01 ~ 2026-08-11：检查图片/文案/关键词是否克制且合规。</x:v>
      </x:c>
      <x:c r="I89" s="41" t="str">
        <x:v>2026-09-01 ~ 2026-09-30：每2-3天看；表现差或表达风险高就停。</x:v>
      </x:c>
      <x:c r="J89" s="41" t="str">
        <x:f>IF(AND(TODAY()&gt;=$L89,TODAY()&lt;=$M89),"节点进行中",IF(AND(TODAY()&gt;=$R89,TODAY()&lt;=$S89),"高频跟进",IF(AND(TODAY()&gt;=$P89,TODAY()&lt;=$Q89),"二次排查",IF(AND(TODAY()&gt;=$N89,TODAY()&lt;=$O89),"一次排查",IF(TODAY()&lt;$N89,"未到排查",IF(TODAY()&lt;$L89,"等待下一窗口","已过"))))))</x:f>
        <x:v>未到排查</x:v>
      </x:c>
      <x:c r="K89" s="41" t="str">
        <x:f>IF($J89="节点进行中","今天正在节点/销售窗口内：看销量、库存承接、广告花费、转化和是否需要控投/清尾。",IF($J89="高频跟进","今天在高频跟进窗口：头部SKU每日看；重点看高库存、高花费、断货风险和ACOS。",IF($J89="二次排查","今天在二次排查窗口：补广告结构、关键词/ASIN、预算和Listing埋词。",IF($J89="一次排查","今天在一次排查窗口：先筛SKU，看历史动销、库存、利润和Listing匹配。",IF($J89="未到排查","暂不处理，等一次排查窗口。",IF($J89="等待下一窗口","暂不在排查窗口；等高频或节点开始，除非有库存/广告异常。","已过：复盘、降投、清尾或沉淀明年节点。"))))))</x:f>
        <x:v>暂不处理，等一次排查窗口。</x:v>
      </x:c>
      <x:c r="L89" s="42" t="n">
        <x:v>46280</x:v>
      </x:c>
      <x:c r="M89" s="42" t="n">
        <x:v>46310</x:v>
      </x:c>
      <x:c r="N89" s="42" t="n">
        <x:v>46190</x:v>
      </x:c>
      <x:c r="O89" s="42" t="n">
        <x:v>46205</x:v>
      </x:c>
      <x:c r="P89" s="42" t="n">
        <x:v>46235</x:v>
      </x:c>
      <x:c r="Q89" s="42" t="n">
        <x:v>46245</x:v>
      </x:c>
      <x:c r="R89" s="42" t="n">
        <x:v>46266</x:v>
      </x:c>
      <x:c r="S89" s="42" t="n">
        <x:v>46295</x:v>
      </x:c>
      <x:c r="T89" s="43" t="n">
        <x:f>$L89-TODAY()</x:f>
        <x:v>131</x:v>
      </x:c>
    </x:row>
    <x:row r="90" ht="42" hidden="0" customHeight="1">
      <x:c r="A90" s="41" t="str">
        <x:v>Rehab Week / National Rehabilitation Awareness Week</x:v>
      </x:c>
      <x:c r="B90" s="41" t="str">
        <x:v>康复周/康复意识周</x:v>
      </x:c>
      <x:c r="C90" s="41" t="str">
        <x:v>关注康复治疗与康复从业者，适合PT/OT/rehab团队礼品。</x:v>
      </x:c>
      <x:c r="D90" s="41" t="str">
        <x:v>2026-09-20 ~ 2026-09-26</x:v>
      </x:c>
      <x:c r="E90" s="41" t="str">
        <x:v>每年变动</x:v>
      </x:c>
      <x:c r="F90" s="41" t="str">
        <x:v>rehab/PT/OT therapy gifts、康复团队感谢礼</x:v>
      </x:c>
      <x:c r="G90" s="41" t="str">
        <x:v>2026-07-07 ~ 2026-07-22：按职业词筛SKU，核库存、历史动销和礼品适配。</x:v>
      </x:c>
      <x:c r="H90" s="41" t="str">
        <x:v>2026-08-11 ~ 2026-08-21：建/补广告组，补关键词/ASIN，处理低效流量。</x:v>
      </x:c>
      <x:c r="I90" s="41" t="str">
        <x:v>2026-09-06 ~ 2026-09-26：高库存/高花费SKU每日看，其余2-3天看。</x:v>
      </x:c>
      <x:c r="J90" s="41" t="str">
        <x:f>IF(AND(TODAY()&gt;=$L90,TODAY()&lt;=$M90),"节点进行中",IF(AND(TODAY()&gt;=$R90,TODAY()&lt;=$S90),"高频跟进",IF(AND(TODAY()&gt;=$P90,TODAY()&lt;=$Q90),"二次排查",IF(AND(TODAY()&gt;=$N90,TODAY()&lt;=$O90),"一次排查",IF(TODAY()&lt;$N90,"未到排查",IF(TODAY()&lt;$L90,"等待下一窗口","已过"))))))</x:f>
        <x:v>未到排查</x:v>
      </x:c>
      <x:c r="K90" s="41" t="str">
        <x:f>IF($J90="节点进行中","今天正在节点/销售窗口内：看销量、库存承接、广告花费、转化和是否需要控投/清尾。",IF($J90="高频跟进","今天在高频跟进窗口：头部SKU每日看；重点看高库存、高花费、断货风险和ACOS。",IF($J90="二次排查","今天在二次排查窗口：补广告结构、关键词/ASIN、预算和Listing埋词。",IF($J90="一次排查","今天在一次排查窗口：先筛SKU，看历史动销、库存、利润和Listing匹配。",IF($J90="未到排查","暂不处理，等一次排查窗口。",IF($J90="等待下一窗口","暂不在排查窗口；等高频或节点开始，除非有库存/广告异常。","已过：复盘、降投、清尾或沉淀明年节点。"))))))</x:f>
        <x:v>暂不处理，等一次排查窗口。</x:v>
      </x:c>
      <x:c r="L90" s="42" t="n">
        <x:v>46285</x:v>
      </x:c>
      <x:c r="M90" s="42" t="n">
        <x:v>46291</x:v>
      </x:c>
      <x:c r="N90" s="42" t="n">
        <x:v>46210</x:v>
      </x:c>
      <x:c r="O90" s="42" t="n">
        <x:v>46225</x:v>
      </x:c>
      <x:c r="P90" s="42" t="n">
        <x:v>46245</x:v>
      </x:c>
      <x:c r="Q90" s="42" t="n">
        <x:v>46255</x:v>
      </x:c>
      <x:c r="R90" s="42" t="n">
        <x:v>46271</x:v>
      </x:c>
      <x:c r="S90" s="42" t="n">
        <x:v>46291</x:v>
      </x:c>
      <x:c r="T90" s="43" t="n">
        <x:f>$L90-TODAY()</x:f>
        <x:v>136</x:v>
      </x:c>
    </x:row>
    <x:row r="91" ht="42" hidden="0" customHeight="1">
      <x:c r="A91" s="41" t="str">
        <x:v>School Counselor / Counselor Gift Season</x:v>
      </x:c>
      <x:c r="B91" s="41" t="str">
        <x:v>辅导员礼品季</x:v>
      </x:c>
      <x:c r="C91" s="41" t="str">
        <x:v>开学后学校辅导员、心理支持岗位礼品需求可能回升。</x:v>
      </x:c>
      <x:c r="D91" s="41" t="str">
        <x:v>2026-09-01 ~ 2026-10-31</x:v>
      </x:c>
      <x:c r="E91" s="41" t="str">
        <x:v>区间变动：按学校活动季取常用窗口</x:v>
      </x:c>
      <x:c r="F91" s="41" t="str">
        <x:v>文具、书签、收纳、宿舍装饰、老师/学生礼、课堂用品</x:v>
      </x:c>
      <x:c r="G91" s="41" t="str">
        <x:v>2026-06-03 ~ 2026-06-17：看历史动销起点、库存承接、Listing是否匹配。</x:v>
      </x:c>
      <x:c r="H91" s="41" t="str">
        <x:v>2026-07-18 ~ 2026-08-01：完成关键词/ASIN/主图标题检查，低预算轻测。</x:v>
      </x:c>
      <x:c r="I91" s="41" t="str">
        <x:v>2026-08-18 ~ 2026-10-01：头部SKU每日看，普通SKU每周2次。</x:v>
      </x:c>
      <x:c r="J91" s="41" t="str">
        <x:f>IF(AND(TODAY()&gt;=$L91,TODAY()&lt;=$M91),"节点进行中",IF(AND(TODAY()&gt;=$R91,TODAY()&lt;=$S91),"高频跟进",IF(AND(TODAY()&gt;=$P91,TODAY()&lt;=$Q91),"二次排查",IF(AND(TODAY()&gt;=$N91,TODAY()&lt;=$O91),"一次排查",IF(TODAY()&lt;$N91,"未到排查",IF(TODAY()&lt;$L91,"等待下一窗口","已过"))))))</x:f>
        <x:v>未到排查</x:v>
      </x:c>
      <x:c r="K91" s="41" t="str">
        <x:f>IF($J91="节点进行中","今天正在节点/销售窗口内：看销量、库存承接、广告花费、转化和是否需要控投/清尾。",IF($J91="高频跟进","今天在高频跟进窗口：头部SKU每日看；重点看高库存、高花费、断货风险和ACOS。",IF($J91="二次排查","今天在二次排查窗口：补广告结构、关键词/ASIN、预算和Listing埋词。",IF($J91="一次排查","今天在一次排查窗口：先筛SKU，看历史动销、库存、利润和Listing匹配。",IF($J91="未到排查","暂不处理，等一次排查窗口。",IF($J91="等待下一窗口","暂不在排查窗口；等高频或节点开始，除非有库存/广告异常。","已过：复盘、降投、清尾或沉淀明年节点。"))))))</x:f>
        <x:v>暂不处理，等一次排查窗口。</x:v>
      </x:c>
      <x:c r="L91" s="42" t="n">
        <x:v>46266</x:v>
      </x:c>
      <x:c r="M91" s="42" t="n">
        <x:v>46326</x:v>
      </x:c>
      <x:c r="N91" s="42" t="n">
        <x:v>46176</x:v>
      </x:c>
      <x:c r="O91" s="42" t="n">
        <x:v>46190</x:v>
      </x:c>
      <x:c r="P91" s="42" t="n">
        <x:v>46221</x:v>
      </x:c>
      <x:c r="Q91" s="42" t="n">
        <x:v>46235</x:v>
      </x:c>
      <x:c r="R91" s="42" t="n">
        <x:v>46252</x:v>
      </x:c>
      <x:c r="S91" s="42" t="n">
        <x:v>46296</x:v>
      </x:c>
      <x:c r="T91" s="43" t="n">
        <x:f>$L91-TODAY()</x:f>
        <x:v>117</x:v>
      </x:c>
    </x:row>
    <x:row r="92" ht="42" hidden="0" customHeight="1">
      <x:c r="A92" s="41" t="str">
        <x:v>Breast Cancer Awareness Month</x:v>
      </x:c>
      <x:c r="B92" s="41" t="str">
        <x:v>乳腺癌关注月</x:v>
      </x:c>
      <x:c r="C92" s="41" t="str">
        <x:v>以粉丝带为代表的健康意识月，适合support、survivor、awareness gifts等产品。</x:v>
      </x:c>
      <x:c r="D92" s="41" t="str">
        <x:v>2026-10-01 ~ 2026-10-31</x:v>
      </x:c>
      <x:c r="E92" s="41" t="str">
        <x:v>固定月份</x:v>
      </x:c>
      <x:c r="F92" s="41" t="str">
        <x:v>意识/支持类产品：丝带、手链、鼓励卡、贴纸；敏感节点商业化要克制</x:v>
      </x:c>
      <x:c r="G92" s="41" t="str">
        <x:v>2026-07-03 ~ 2026-07-18：先确认产品真实匹配，避免硬蹭敏感议题。</x:v>
      </x:c>
      <x:c r="H92" s="41" t="str">
        <x:v>2026-08-17 ~ 2026-08-27：检查图片/文案/关键词是否克制且合规。</x:v>
      </x:c>
      <x:c r="I92" s="41" t="str">
        <x:v>2026-09-17 ~ 2026-10-16：每2-3天看；表现差或表达风险高就停。</x:v>
      </x:c>
      <x:c r="J92" s="41" t="str">
        <x:f>IF(AND(TODAY()&gt;=$L92,TODAY()&lt;=$M92),"节点进行中",IF(AND(TODAY()&gt;=$R92,TODAY()&lt;=$S92),"高频跟进",IF(AND(TODAY()&gt;=$P92,TODAY()&lt;=$Q92),"二次排查",IF(AND(TODAY()&gt;=$N92,TODAY()&lt;=$O92),"一次排查",IF(TODAY()&lt;$N92,"未到排查",IF(TODAY()&lt;$L92,"等待下一窗口","已过"))))))</x:f>
        <x:v>未到排查</x:v>
      </x:c>
      <x:c r="K92" s="41" t="str">
        <x:f>IF($J92="节点进行中","今天正在节点/销售窗口内：看销量、库存承接、广告花费、转化和是否需要控投/清尾。",IF($J92="高频跟进","今天在高频跟进窗口：头部SKU每日看；重点看高库存、高花费、断货风险和ACOS。",IF($J92="二次排查","今天在二次排查窗口：补广告结构、关键词/ASIN、预算和Listing埋词。",IF($J92="一次排查","今天在一次排查窗口：先筛SKU，看历史动销、库存、利润和Listing匹配。",IF($J92="未到排查","暂不处理，等一次排查窗口。",IF($J92="等待下一窗口","暂不在排查窗口；等高频或节点开始，除非有库存/广告异常。","已过：复盘、降投、清尾或沉淀明年节点。"))))))</x:f>
        <x:v>暂不处理，等一次排查窗口。</x:v>
      </x:c>
      <x:c r="L92" s="42" t="n">
        <x:v>46296</x:v>
      </x:c>
      <x:c r="M92" s="42" t="n">
        <x:v>46326</x:v>
      </x:c>
      <x:c r="N92" s="42" t="n">
        <x:v>46206</x:v>
      </x:c>
      <x:c r="O92" s="42" t="n">
        <x:v>46221</x:v>
      </x:c>
      <x:c r="P92" s="42" t="n">
        <x:v>46251</x:v>
      </x:c>
      <x:c r="Q92" s="42" t="n">
        <x:v>46261</x:v>
      </x:c>
      <x:c r="R92" s="42" t="n">
        <x:v>46282</x:v>
      </x:c>
      <x:c r="S92" s="42" t="n">
        <x:v>46311</x:v>
      </x:c>
      <x:c r="T92" s="43" t="n">
        <x:f>$L92-TODAY()</x:f>
        <x:v>147</x:v>
      </x:c>
    </x:row>
    <x:row r="93" ht="42" hidden="0" customHeight="1">
      <x:c r="A93" s="41" t="str">
        <x:v>Domestic Violence Awareness Month</x:v>
      </x:c>
      <x:c r="B93" s="41" t="str">
        <x:v>家暴关注月</x:v>
      </x:c>
      <x:c r="C93" s="41" t="str">
        <x:v>关注家暴幸存者支持与反暴力倡导，适合支持类公益表达，商业化需谨慎。</x:v>
      </x:c>
      <x:c r="D93" s="41" t="str">
        <x:v>2026-10-01 ~ 2026-10-31</x:v>
      </x:c>
      <x:c r="E93" s="41" t="str">
        <x:v>固定月份</x:v>
      </x:c>
      <x:c r="F93" s="41" t="str">
        <x:v>意识/支持类产品：丝带、手链、鼓励卡、贴纸；敏感节点商业化要克制</x:v>
      </x:c>
      <x:c r="G93" s="41" t="str">
        <x:v>2026-07-03 ~ 2026-07-18：先确认产品真实匹配，避免硬蹭敏感议题。</x:v>
      </x:c>
      <x:c r="H93" s="41" t="str">
        <x:v>2026-08-17 ~ 2026-08-27：检查图片/文案/关键词是否克制且合规。</x:v>
      </x:c>
      <x:c r="I93" s="41" t="str">
        <x:v>2026-09-17 ~ 2026-10-16：每2-3天看；表现差或表达风险高就停。</x:v>
      </x:c>
      <x:c r="J93" s="41" t="str">
        <x:f>IF(AND(TODAY()&gt;=$L93,TODAY()&lt;=$M93),"节点进行中",IF(AND(TODAY()&gt;=$R93,TODAY()&lt;=$S93),"高频跟进",IF(AND(TODAY()&gt;=$P93,TODAY()&lt;=$Q93),"二次排查",IF(AND(TODAY()&gt;=$N93,TODAY()&lt;=$O93),"一次排查",IF(TODAY()&lt;$N93,"未到排查",IF(TODAY()&lt;$L93,"等待下一窗口","已过"))))))</x:f>
        <x:v>未到排查</x:v>
      </x:c>
      <x:c r="K93" s="41" t="str">
        <x:f>IF($J93="节点进行中","今天正在节点/销售窗口内：看销量、库存承接、广告花费、转化和是否需要控投/清尾。",IF($J93="高频跟进","今天在高频跟进窗口：头部SKU每日看；重点看高库存、高花费、断货风险和ACOS。",IF($J93="二次排查","今天在二次排查窗口：补广告结构、关键词/ASIN、预算和Listing埋词。",IF($J93="一次排查","今天在一次排查窗口：先筛SKU，看历史动销、库存、利润和Listing匹配。",IF($J93="未到排查","暂不处理，等一次排查窗口。",IF($J93="等待下一窗口","暂不在排查窗口；等高频或节点开始，除非有库存/广告异常。","已过：复盘、降投、清尾或沉淀明年节点。"))))))</x:f>
        <x:v>暂不处理，等一次排查窗口。</x:v>
      </x:c>
      <x:c r="L93" s="42" t="n">
        <x:v>46296</x:v>
      </x:c>
      <x:c r="M93" s="42" t="n">
        <x:v>46326</x:v>
      </x:c>
      <x:c r="N93" s="42" t="n">
        <x:v>46206</x:v>
      </x:c>
      <x:c r="O93" s="42" t="n">
        <x:v>46221</x:v>
      </x:c>
      <x:c r="P93" s="42" t="n">
        <x:v>46251</x:v>
      </x:c>
      <x:c r="Q93" s="42" t="n">
        <x:v>46261</x:v>
      </x:c>
      <x:c r="R93" s="42" t="n">
        <x:v>46282</x:v>
      </x:c>
      <x:c r="S93" s="42" t="n">
        <x:v>46311</x:v>
      </x:c>
      <x:c r="T93" s="43" t="n">
        <x:f>$L93-TODAY()</x:f>
        <x:v>147</x:v>
      </x:c>
    </x:row>
    <x:row r="94" ht="42" hidden="0" customHeight="1">
      <x:c r="A94" s="41" t="str">
        <x:v>Fire Prevention Week</x:v>
      </x:c>
      <x:c r="B94" s="41" t="str">
        <x:v>消防安全周/防火周</x:v>
      </x:c>
      <x:c r="C94" s="41" t="str">
        <x:v>推广家庭与社区消防安全，适合firefighter、fire safety、first responder相关主题。</x:v>
      </x:c>
      <x:c r="D94" s="41" t="str">
        <x:v>2026-10-04 ~ 2026-10-10</x:v>
      </x:c>
      <x:c r="E94" s="41" t="str">
        <x:v>每年变动</x:v>
      </x:c>
      <x:c r="F94" s="41" t="str">
        <x:v>firefighter/fire safety gifts、first responder感谢礼、安全教育用品</x:v>
      </x:c>
      <x:c r="G94" s="41" t="str">
        <x:v>2026-07-21 ~ 2026-08-05：按职业词筛SKU，核库存、历史动销和礼品适配。</x:v>
      </x:c>
      <x:c r="H94" s="41" t="str">
        <x:v>2026-08-25 ~ 2026-09-04：建/补广告组，补关键词/ASIN，处理低效流量。</x:v>
      </x:c>
      <x:c r="I94" s="41" t="str">
        <x:v>2026-09-20 ~ 2026-10-10：高库存/高花费SKU每日看，其余2-3天看。</x:v>
      </x:c>
      <x:c r="J94" s="41" t="str">
        <x:f>IF(AND(TODAY()&gt;=$L94,TODAY()&lt;=$M94),"节点进行中",IF(AND(TODAY()&gt;=$R94,TODAY()&lt;=$S94),"高频跟进",IF(AND(TODAY()&gt;=$P94,TODAY()&lt;=$Q94),"二次排查",IF(AND(TODAY()&gt;=$N94,TODAY()&lt;=$O94),"一次排查",IF(TODAY()&lt;$N94,"未到排查",IF(TODAY()&lt;$L94,"等待下一窗口","已过"))))))</x:f>
        <x:v>未到排查</x:v>
      </x:c>
      <x:c r="K94" s="41" t="str">
        <x:f>IF($J94="节点进行中","今天正在节点/销售窗口内：看销量、库存承接、广告花费、转化和是否需要控投/清尾。",IF($J94="高频跟进","今天在高频跟进窗口：头部SKU每日看；重点看高库存、高花费、断货风险和ACOS。",IF($J94="二次排查","今天在二次排查窗口：补广告结构、关键词/ASIN、预算和Listing埋词。",IF($J94="一次排查","今天在一次排查窗口：先筛SKU，看历史动销、库存、利润和Listing匹配。",IF($J94="未到排查","暂不处理，等一次排查窗口。",IF($J94="等待下一窗口","暂不在排查窗口；等高频或节点开始，除非有库存/广告异常。","已过：复盘、降投、清尾或沉淀明年节点。"))))))</x:f>
        <x:v>暂不处理，等一次排查窗口。</x:v>
      </x:c>
      <x:c r="L94" s="42" t="n">
        <x:v>46299</x:v>
      </x:c>
      <x:c r="M94" s="42" t="n">
        <x:v>46305</x:v>
      </x:c>
      <x:c r="N94" s="42" t="n">
        <x:v>46224</x:v>
      </x:c>
      <x:c r="O94" s="42" t="n">
        <x:v>46239</x:v>
      </x:c>
      <x:c r="P94" s="42" t="n">
        <x:v>46259</x:v>
      </x:c>
      <x:c r="Q94" s="42" t="n">
        <x:v>46269</x:v>
      </x:c>
      <x:c r="R94" s="42" t="n">
        <x:v>46285</x:v>
      </x:c>
      <x:c r="S94" s="42" t="n">
        <x:v>46305</x:v>
      </x:c>
      <x:c r="T94" s="43" t="n">
        <x:f>$L94-TODAY()</x:f>
        <x:v>150</x:v>
      </x:c>
    </x:row>
    <x:row r="95" ht="42" hidden="0" customHeight="1">
      <x:c r="A95" s="41" t="str">
        <x:v>Pastor Appreciation Month</x:v>
      </x:c>
      <x:c r="B95" s="41" t="str">
        <x:v>牧师感谢月</x:v>
      </x:c>
      <x:c r="C95" s="41" t="str">
        <x:v>美国教会感谢牧师与教会领袖的整月节点，适合pastor gifts。</x:v>
      </x:c>
      <x:c r="D95" s="41" t="str">
        <x:v>2026-10-01 ~ 2026-10-31</x:v>
      </x:c>
      <x:c r="E95" s="41" t="str">
        <x:v>固定月份</x:v>
      </x:c>
      <x:c r="F95" s="41" t="str">
        <x:v>pastor appreciation gifts、pastor wife gifts、Bible verse卡片、教会礼品</x:v>
      </x:c>
      <x:c r="G95" s="41" t="str">
        <x:v>2026-07-03 ~ 2026-07-18：筛对应SKU、查历史销量/库存/利润空间。</x:v>
      </x:c>
      <x:c r="H95" s="41" t="str">
        <x:v>2026-08-17 ~ 2026-08-27：补广告结构、关键词和Listing埋词。</x:v>
      </x:c>
      <x:c r="I95" s="41" t="str">
        <x:v>2026-09-17 ~ 2026-09-24：重点SKU每日或隔日看，长尾每周2次。</x:v>
      </x:c>
      <x:c r="J95" s="41" t="str">
        <x:f>IF(AND(TODAY()&gt;=$L95,TODAY()&lt;=$M95),"节点进行中",IF(AND(TODAY()&gt;=$R95,TODAY()&lt;=$S95),"高频跟进",IF(AND(TODAY()&gt;=$P95,TODAY()&lt;=$Q95),"二次排查",IF(AND(TODAY()&gt;=$N95,TODAY()&lt;=$O95),"一次排查",IF(TODAY()&lt;$N95,"未到排查",IF(TODAY()&lt;$L95,"等待下一窗口","已过"))))))</x:f>
        <x:v>未到排查</x:v>
      </x:c>
      <x:c r="K95" s="41" t="str">
        <x:f>IF($J95="节点进行中","今天正在节点/销售窗口内：看销量、库存承接、广告花费、转化和是否需要控投/清尾。",IF($J95="高频跟进","今天在高频跟进窗口：头部SKU每日看；重点看高库存、高花费、断货风险和ACOS。",IF($J95="二次排查","今天在二次排查窗口：补广告结构、关键词/ASIN、预算和Listing埋词。",IF($J95="一次排查","今天在一次排查窗口：先筛SKU，看历史动销、库存、利润和Listing匹配。",IF($J95="未到排查","暂不处理，等一次排查窗口。",IF($J95="等待下一窗口","暂不在排查窗口；等高频或节点开始，除非有库存/广告异常。","已过：复盘、降投、清尾或沉淀明年节点。"))))))</x:f>
        <x:v>暂不处理，等一次排查窗口。</x:v>
      </x:c>
      <x:c r="L95" s="42" t="n">
        <x:v>46296</x:v>
      </x:c>
      <x:c r="M95" s="42" t="n">
        <x:v>46326</x:v>
      </x:c>
      <x:c r="N95" s="42" t="n">
        <x:v>46206</x:v>
      </x:c>
      <x:c r="O95" s="42" t="n">
        <x:v>46221</x:v>
      </x:c>
      <x:c r="P95" s="42" t="n">
        <x:v>46251</x:v>
      </x:c>
      <x:c r="Q95" s="42" t="n">
        <x:v>46261</x:v>
      </x:c>
      <x:c r="R95" s="42" t="n">
        <x:v>46282</x:v>
      </x:c>
      <x:c r="S95" s="42" t="n">
        <x:v>46289</x:v>
      </x:c>
      <x:c r="T95" s="43" t="n">
        <x:f>$L95-TODAY()</x:f>
        <x:v>147</x:v>
      </x:c>
    </x:row>
    <x:row r="96" ht="42" hidden="0" customHeight="1">
      <x:c r="A96" s="41" t="str">
        <x:v>Clergy Appreciation Day</x:v>
      </x:c>
      <x:c r="B96" s="41" t="str">
        <x:v>神职人员感谢日</x:v>
      </x:c>
      <x:c r="C96" s="41" t="str">
        <x:v>牧师感谢月中的核心单日，适合clergy/pastor appreciation礼品。</x:v>
      </x:c>
      <x:c r="D96" s="41" t="str">
        <x:v>2026-10-11</x:v>
      </x:c>
      <x:c r="E96" s="41" t="str">
        <x:v>每年变动</x:v>
      </x:c>
      <x:c r="F96" s="41" t="str">
        <x:v>pastor appreciation gifts、pastor wife gifts、Bible verse卡片、教会礼品</x:v>
      </x:c>
      <x:c r="G96" s="41" t="str">
        <x:v>2026-08-12 ~ 2026-08-27：先筛匹配SKU、历史销量、库存和利润空间。</x:v>
      </x:c>
      <x:c r="H96" s="41" t="str">
        <x:v>2026-09-11 ~ 2026-09-20：补关键词/ASIN、Listing埋词和广告预算。</x:v>
      </x:c>
      <x:c r="I96" s="41" t="str">
        <x:v>2026-09-27 ~ 2026-10-13：重点SKU每日看，普通SKU每2-3天看。</x:v>
      </x:c>
      <x:c r="J96" s="41" t="str">
        <x:f>IF(AND(TODAY()&gt;=$L96,TODAY()&lt;=$M96),"节点进行中",IF(AND(TODAY()&gt;=$R96,TODAY()&lt;=$S96),"高频跟进",IF(AND(TODAY()&gt;=$P96,TODAY()&lt;=$Q96),"二次排查",IF(AND(TODAY()&gt;=$N96,TODAY()&lt;=$O96),"一次排查",IF(TODAY()&lt;$N96,"未到排查",IF(TODAY()&lt;$L96,"等待下一窗口","已过"))))))</x:f>
        <x:v>未到排查</x:v>
      </x:c>
      <x:c r="K96" s="41" t="str">
        <x:f>IF($J96="节点进行中","今天正在节点/销售窗口内：看销量、库存承接、广告花费、转化和是否需要控投/清尾。",IF($J96="高频跟进","今天在高频跟进窗口：头部SKU每日看；重点看高库存、高花费、断货风险和ACOS。",IF($J96="二次排查","今天在二次排查窗口：补广告结构、关键词/ASIN、预算和Listing埋词。",IF($J96="一次排查","今天在一次排查窗口：先筛SKU，看历史动销、库存、利润和Listing匹配。",IF($J96="未到排查","暂不处理，等一次排查窗口。",IF($J96="等待下一窗口","暂不在排查窗口；等高频或节点开始，除非有库存/广告异常。","已过：复盘、降投、清尾或沉淀明年节点。"))))))</x:f>
        <x:v>暂不处理，等一次排查窗口。</x:v>
      </x:c>
      <x:c r="L96" s="42" t="n">
        <x:v>46306</x:v>
      </x:c>
      <x:c r="M96" s="42" t="n">
        <x:v>46306</x:v>
      </x:c>
      <x:c r="N96" s="42" t="n">
        <x:v>46246</x:v>
      </x:c>
      <x:c r="O96" s="42" t="n">
        <x:v>46261</x:v>
      </x:c>
      <x:c r="P96" s="42" t="n">
        <x:v>46276</x:v>
      </x:c>
      <x:c r="Q96" s="42" t="n">
        <x:v>46285</x:v>
      </x:c>
      <x:c r="R96" s="42" t="n">
        <x:v>46292</x:v>
      </x:c>
      <x:c r="S96" s="42" t="n">
        <x:v>46308</x:v>
      </x:c>
      <x:c r="T96" s="43" t="n">
        <x:f>$L96-TODAY()</x:f>
        <x:v>157</x:v>
      </x:c>
    </x:row>
    <x:row r="97" ht="42" hidden="0" customHeight="1">
      <x:c r="A97" s="41" t="str">
        <x:v>Custodian Appreciation Day</x:v>
      </x:c>
      <x:c r="B97" s="41" t="str">
        <x:v>校工/保洁员感谢日</x:v>
      </x:c>
      <x:c r="C97" s="41" t="str">
        <x:v>感谢学校与机构清洁维护人员，适合custodian gift、thank you礼品。</x:v>
      </x:c>
      <x:c r="D97" s="41" t="str">
        <x:v>2026-10-02</x:v>
      </x:c>
      <x:c r="E97" s="41" t="str">
        <x:v>固定日期</x:v>
      </x:c>
      <x:c r="F97" s="41" t="str">
        <x:v>custodian/housekeeping/EVS gifts、thank you mug、tote、钥匙扣</x:v>
      </x:c>
      <x:c r="G97" s="41" t="str">
        <x:v>2026-08-03 ~ 2026-08-18：先筛匹配SKU、历史销量、库存和利润空间。</x:v>
      </x:c>
      <x:c r="H97" s="41" t="str">
        <x:v>2026-09-02 ~ 2026-09-11：补关键词/ASIN、Listing埋词和广告预算。</x:v>
      </x:c>
      <x:c r="I97" s="41" t="str">
        <x:v>2026-09-18 ~ 2026-10-04：重点SKU每日看，普通SKU每2-3天看。</x:v>
      </x:c>
      <x:c r="J97" s="41" t="str">
        <x:f>IF(AND(TODAY()&gt;=$L97,TODAY()&lt;=$M97),"节点进行中",IF(AND(TODAY()&gt;=$R97,TODAY()&lt;=$S97),"高频跟进",IF(AND(TODAY()&gt;=$P97,TODAY()&lt;=$Q97),"二次排查",IF(AND(TODAY()&gt;=$N97,TODAY()&lt;=$O97),"一次排查",IF(TODAY()&lt;$N97,"未到排查",IF(TODAY()&lt;$L97,"等待下一窗口","已过"))))))</x:f>
        <x:v>未到排查</x:v>
      </x:c>
      <x:c r="K97" s="41" t="str">
        <x:f>IF($J97="节点进行中","今天正在节点/销售窗口内：看销量、库存承接、广告花费、转化和是否需要控投/清尾。",IF($J97="高频跟进","今天在高频跟进窗口：头部SKU每日看；重点看高库存、高花费、断货风险和ACOS。",IF($J97="二次排查","今天在二次排查窗口：补广告结构、关键词/ASIN、预算和Listing埋词。",IF($J97="一次排查","今天在一次排查窗口：先筛SKU，看历史动销、库存、利润和Listing匹配。",IF($J97="未到排查","暂不处理，等一次排查窗口。",IF($J97="等待下一窗口","暂不在排查窗口；等高频或节点开始，除非有库存/广告异常。","已过：复盘、降投、清尾或沉淀明年节点。"))))))</x:f>
        <x:v>暂不处理，等一次排查窗口。</x:v>
      </x:c>
      <x:c r="L97" s="42" t="n">
        <x:v>46297</x:v>
      </x:c>
      <x:c r="M97" s="42" t="n">
        <x:v>46297</x:v>
      </x:c>
      <x:c r="N97" s="42" t="n">
        <x:v>46237</x:v>
      </x:c>
      <x:c r="O97" s="42" t="n">
        <x:v>46252</x:v>
      </x:c>
      <x:c r="P97" s="42" t="n">
        <x:v>46267</x:v>
      </x:c>
      <x:c r="Q97" s="42" t="n">
        <x:v>46276</x:v>
      </x:c>
      <x:c r="R97" s="42" t="n">
        <x:v>46283</x:v>
      </x:c>
      <x:c r="S97" s="42" t="n">
        <x:v>46299</x:v>
      </x:c>
      <x:c r="T97" s="43" t="n">
        <x:f>$L97-TODAY()</x:f>
        <x:v>148</x:v>
      </x:c>
    </x:row>
    <x:row r="98" ht="42" hidden="0" customHeight="1">
      <x:c r="A98" s="41" t="str">
        <x:v>Customer Service Week</x:v>
      </x:c>
      <x:c r="B98" s="41" t="str">
        <x:v>客户服务周</x:v>
      </x:c>
      <x:c r="C98" s="41" t="str">
        <x:v>表彰客服、前台和客户支持团队，适合customer service appreciation礼品。</x:v>
      </x:c>
      <x:c r="D98" s="41" t="str">
        <x:v>2026-10-05 ~ 2026-10-09</x:v>
      </x:c>
      <x:c r="E98" s="41" t="str">
        <x:v>每年变动</x:v>
      </x:c>
      <x:c r="F98" s="41" t="str">
        <x:v>customer service gifts、team appreciation bulk gifts、办公小礼</x:v>
      </x:c>
      <x:c r="G98" s="41" t="str">
        <x:v>2026-07-22 ~ 2026-08-06：按职业词筛SKU，核库存、历史动销和礼品适配。</x:v>
      </x:c>
      <x:c r="H98" s="41" t="str">
        <x:v>2026-08-26 ~ 2026-09-05：建/补广告组，补关键词/ASIN，处理低效流量。</x:v>
      </x:c>
      <x:c r="I98" s="41" t="str">
        <x:v>2026-09-21 ~ 2026-10-09：高库存/高花费SKU每日看，其余2-3天看。</x:v>
      </x:c>
      <x:c r="J98" s="41" t="str">
        <x:f>IF(AND(TODAY()&gt;=$L98,TODAY()&lt;=$M98),"节点进行中",IF(AND(TODAY()&gt;=$R98,TODAY()&lt;=$S98),"高频跟进",IF(AND(TODAY()&gt;=$P98,TODAY()&lt;=$Q98),"二次排查",IF(AND(TODAY()&gt;=$N98,TODAY()&lt;=$O98),"一次排查",IF(TODAY()&lt;$N98,"未到排查",IF(TODAY()&lt;$L98,"等待下一窗口","已过"))))))</x:f>
        <x:v>未到排查</x:v>
      </x:c>
      <x:c r="K98" s="41" t="str">
        <x:f>IF($J98="节点进行中","今天正在节点/销售窗口内：看销量、库存承接、广告花费、转化和是否需要控投/清尾。",IF($J98="高频跟进","今天在高频跟进窗口：头部SKU每日看；重点看高库存、高花费、断货风险和ACOS。",IF($J98="二次排查","今天在二次排查窗口：补广告结构、关键词/ASIN、预算和Listing埋词。",IF($J98="一次排查","今天在一次排查窗口：先筛SKU，看历史动销、库存、利润和Listing匹配。",IF($J98="未到排查","暂不处理，等一次排查窗口。",IF($J98="等待下一窗口","暂不在排查窗口；等高频或节点开始，除非有库存/广告异常。","已过：复盘、降投、清尾或沉淀明年节点。"))))))</x:f>
        <x:v>暂不处理，等一次排查窗口。</x:v>
      </x:c>
      <x:c r="L98" s="42" t="n">
        <x:v>46300</x:v>
      </x:c>
      <x:c r="M98" s="42" t="n">
        <x:v>46304</x:v>
      </x:c>
      <x:c r="N98" s="42" t="n">
        <x:v>46225</x:v>
      </x:c>
      <x:c r="O98" s="42" t="n">
        <x:v>46240</x:v>
      </x:c>
      <x:c r="P98" s="42" t="n">
        <x:v>46260</x:v>
      </x:c>
      <x:c r="Q98" s="42" t="n">
        <x:v>46270</x:v>
      </x:c>
      <x:c r="R98" s="42" t="n">
        <x:v>46286</x:v>
      </x:c>
      <x:c r="S98" s="42" t="n">
        <x:v>46304</x:v>
      </x:c>
      <x:c r="T98" s="43" t="n">
        <x:f>$L98-TODAY()</x:f>
        <x:v>151</x:v>
      </x:c>
    </x:row>
    <x:row r="99" ht="42" hidden="0" customHeight="1">
      <x:c r="A99" s="41" t="str">
        <x:v>Food Service Week</x:v>
      </x:c>
      <x:c r="B99" s="41" t="str">
        <x:v>餐饮服务周</x:v>
      </x:c>
      <x:c r="C99" s="41" t="str">
        <x:v>表彰餐饮、食堂和food service工作人员，适合food service gifts。</x:v>
      </x:c>
      <x:c r="D99" s="41" t="str">
        <x:v>2026-10-04 ~ 2026-10-10</x:v>
      </x:c>
      <x:c r="E99" s="41" t="str">
        <x:v>每年变动：按10月第一个完整周取窗口</x:v>
      </x:c>
      <x:c r="F99" s="41" t="str">
        <x:v>food service worker gifts、kitchen/restaurant staff感谢礼</x:v>
      </x:c>
      <x:c r="G99" s="41" t="str">
        <x:v>2026-07-21 ~ 2026-08-05：按职业词筛SKU，核库存、历史动销和礼品适配。</x:v>
      </x:c>
      <x:c r="H99" s="41" t="str">
        <x:v>2026-08-25 ~ 2026-09-04：建/补广告组，补关键词/ASIN，处理低效流量。</x:v>
      </x:c>
      <x:c r="I99" s="41" t="str">
        <x:v>2026-09-20 ~ 2026-10-10：高库存/高花费SKU每日看，其余2-3天看。</x:v>
      </x:c>
      <x:c r="J99" s="41" t="str">
        <x:f>IF(AND(TODAY()&gt;=$L99,TODAY()&lt;=$M99),"节点进行中",IF(AND(TODAY()&gt;=$R99,TODAY()&lt;=$S99),"高频跟进",IF(AND(TODAY()&gt;=$P99,TODAY()&lt;=$Q99),"二次排查",IF(AND(TODAY()&gt;=$N99,TODAY()&lt;=$O99),"一次排查",IF(TODAY()&lt;$N99,"未到排查",IF(TODAY()&lt;$L99,"等待下一窗口","已过"))))))</x:f>
        <x:v>未到排查</x:v>
      </x:c>
      <x:c r="K99" s="41" t="str">
        <x:f>IF($J99="节点进行中","今天正在节点/销售窗口内：看销量、库存承接、广告花费、转化和是否需要控投/清尾。",IF($J99="高频跟进","今天在高频跟进窗口：头部SKU每日看；重点看高库存、高花费、断货风险和ACOS。",IF($J99="二次排查","今天在二次排查窗口：补广告结构、关键词/ASIN、预算和Listing埋词。",IF($J99="一次排查","今天在一次排查窗口：先筛SKU，看历史动销、库存、利润和Listing匹配。",IF($J99="未到排查","暂不处理，等一次排查窗口。",IF($J99="等待下一窗口","暂不在排查窗口；等高频或节点开始，除非有库存/广告异常。","已过：复盘、降投、清尾或沉淀明年节点。"))))))</x:f>
        <x:v>暂不处理，等一次排查窗口。</x:v>
      </x:c>
      <x:c r="L99" s="42" t="n">
        <x:v>46299</x:v>
      </x:c>
      <x:c r="M99" s="42" t="n">
        <x:v>46305</x:v>
      </x:c>
      <x:c r="N99" s="42" t="n">
        <x:v>46224</x:v>
      </x:c>
      <x:c r="O99" s="42" t="n">
        <x:v>46239</x:v>
      </x:c>
      <x:c r="P99" s="42" t="n">
        <x:v>46259</x:v>
      </x:c>
      <x:c r="Q99" s="42" t="n">
        <x:v>46269</x:v>
      </x:c>
      <x:c r="R99" s="42" t="n">
        <x:v>46285</x:v>
      </x:c>
      <x:c r="S99" s="42" t="n">
        <x:v>46305</x:v>
      </x:c>
      <x:c r="T99" s="43" t="n">
        <x:f>$L99-TODAY()</x:f>
        <x:v>150</x:v>
      </x:c>
    </x:row>
    <x:row r="100" ht="42" hidden="0" customHeight="1">
      <x:c r="A100" s="41" t="str">
        <x:v>World Mental Health Day</x:v>
      </x:c>
      <x:c r="B100" s="41" t="str">
        <x:v>世界心理健康日</x:v>
      </x:c>
      <x:c r="C100" s="41" t="str">
        <x:v>全球心理健康宣传节点，适合mental health、support、awareness主题。</x:v>
      </x:c>
      <x:c r="D100" s="41" t="str">
        <x:v>2026-10-10</x:v>
      </x:c>
      <x:c r="E100" s="41" t="str">
        <x:v>固定日期</x:v>
      </x:c>
      <x:c r="F100" s="41" t="str">
        <x:v>意识/支持类产品：丝带、手链、鼓励卡、贴纸；敏感节点商业化要克制</x:v>
      </x:c>
      <x:c r="G100" s="41" t="str">
        <x:v>2026-07-12 ~ 2026-07-27：先确认产品真实匹配，避免硬蹭敏感议题。</x:v>
      </x:c>
      <x:c r="H100" s="41" t="str">
        <x:v>2026-08-26 ~ 2026-09-05：检查图片/文案/关键词是否克制且合规。</x:v>
      </x:c>
      <x:c r="I100" s="41" t="str">
        <x:v>2026-09-26 ~ 2026-10-10：每2-3天看；表现差或表达风险高就停。</x:v>
      </x:c>
      <x:c r="J100" s="41" t="str">
        <x:f>IF(AND(TODAY()&gt;=$L100,TODAY()&lt;=$M100),"节点进行中",IF(AND(TODAY()&gt;=$R100,TODAY()&lt;=$S100),"高频跟进",IF(AND(TODAY()&gt;=$P100,TODAY()&lt;=$Q100),"二次排查",IF(AND(TODAY()&gt;=$N100,TODAY()&lt;=$O100),"一次排查",IF(TODAY()&lt;$N100,"未到排查",IF(TODAY()&lt;$L100,"等待下一窗口","已过"))))))</x:f>
        <x:v>未到排查</x:v>
      </x:c>
      <x:c r="K100" s="41" t="str">
        <x:f>IF($J100="节点进行中","今天正在节点/销售窗口内：看销量、库存承接、广告花费、转化和是否需要控投/清尾。",IF($J100="高频跟进","今天在高频跟进窗口：头部SKU每日看；重点看高库存、高花费、断货风险和ACOS。",IF($J100="二次排查","今天在二次排查窗口：补广告结构、关键词/ASIN、预算和Listing埋词。",IF($J100="一次排查","今天在一次排查窗口：先筛SKU，看历史动销、库存、利润和Listing匹配。",IF($J100="未到排查","暂不处理，等一次排查窗口。",IF($J100="等待下一窗口","暂不在排查窗口；等高频或节点开始，除非有库存/广告异常。","已过：复盘、降投、清尾或沉淀明年节点。"))))))</x:f>
        <x:v>暂不处理，等一次排查窗口。</x:v>
      </x:c>
      <x:c r="L100" s="42" t="n">
        <x:v>46305</x:v>
      </x:c>
      <x:c r="M100" s="42" t="n">
        <x:v>46305</x:v>
      </x:c>
      <x:c r="N100" s="42" t="n">
        <x:v>46215</x:v>
      </x:c>
      <x:c r="O100" s="42" t="n">
        <x:v>46230</x:v>
      </x:c>
      <x:c r="P100" s="42" t="n">
        <x:v>46260</x:v>
      </x:c>
      <x:c r="Q100" s="42" t="n">
        <x:v>46270</x:v>
      </x:c>
      <x:c r="R100" s="42" t="n">
        <x:v>46291</x:v>
      </x:c>
      <x:c r="S100" s="42" t="n">
        <x:v>46305</x:v>
      </x:c>
      <x:c r="T100" s="43" t="n">
        <x:f>$L100-TODAY()</x:f>
        <x:v>156</x:v>
      </x:c>
    </x:row>
    <x:row r="101" ht="42" hidden="0" customHeight="1">
      <x:c r="A101" s="41" t="str">
        <x:v>Case Management Week</x:v>
      </x:c>
      <x:c r="B101" s="41" t="str">
        <x:v>个案管理周</x:v>
      </x:c>
      <x:c r="C101" s="41" t="str">
        <x:v>表彰医院与保险体系中的case manager，适合case management gifts。</x:v>
      </x:c>
      <x:c r="D101" s="41" t="str">
        <x:v>2026-10-11 ~ 2026-10-17</x:v>
      </x:c>
      <x:c r="E101" s="41" t="str">
        <x:v>每年变动</x:v>
      </x:c>
      <x:c r="F101" s="41" t="str">
        <x:v>hospital staff gifts、healthcare worker bulk gifts、感谢卡/钥匙扣</x:v>
      </x:c>
      <x:c r="G101" s="41" t="str">
        <x:v>2026-07-28 ~ 2026-08-12：按职业词筛SKU，核库存、历史动销和礼品适配。</x:v>
      </x:c>
      <x:c r="H101" s="41" t="str">
        <x:v>2026-09-01 ~ 2026-09-11：建/补广告组，补关键词/ASIN，处理低效流量。</x:v>
      </x:c>
      <x:c r="I101" s="41" t="str">
        <x:v>2026-09-27 ~ 2026-10-17：高库存/高花费SKU每日看，其余2-3天看。</x:v>
      </x:c>
      <x:c r="J101" s="41" t="str">
        <x:f>IF(AND(TODAY()&gt;=$L101,TODAY()&lt;=$M101),"节点进行中",IF(AND(TODAY()&gt;=$R101,TODAY()&lt;=$S101),"高频跟进",IF(AND(TODAY()&gt;=$P101,TODAY()&lt;=$Q101),"二次排查",IF(AND(TODAY()&gt;=$N101,TODAY()&lt;=$O101),"一次排查",IF(TODAY()&lt;$N101,"未到排查",IF(TODAY()&lt;$L101,"等待下一窗口","已过"))))))</x:f>
        <x:v>未到排查</x:v>
      </x:c>
      <x:c r="K101" s="41" t="str">
        <x:f>IF($J101="节点进行中","今天正在节点/销售窗口内：看销量、库存承接、广告花费、转化和是否需要控投/清尾。",IF($J101="高频跟进","今天在高频跟进窗口：头部SKU每日看；重点看高库存、高花费、断货风险和ACOS。",IF($J101="二次排查","今天在二次排查窗口：补广告结构、关键词/ASIN、预算和Listing埋词。",IF($J101="一次排查","今天在一次排查窗口：先筛SKU，看历史动销、库存、利润和Listing匹配。",IF($J101="未到排查","暂不处理，等一次排查窗口。",IF($J101="等待下一窗口","暂不在排查窗口；等高频或节点开始，除非有库存/广告异常。","已过：复盘、降投、清尾或沉淀明年节点。"))))))</x:f>
        <x:v>暂不处理，等一次排查窗口。</x:v>
      </x:c>
      <x:c r="L101" s="42" t="n">
        <x:v>46306</x:v>
      </x:c>
      <x:c r="M101" s="42" t="n">
        <x:v>46312</x:v>
      </x:c>
      <x:c r="N101" s="42" t="n">
        <x:v>46231</x:v>
      </x:c>
      <x:c r="O101" s="42" t="n">
        <x:v>46246</x:v>
      </x:c>
      <x:c r="P101" s="42" t="n">
        <x:v>46266</x:v>
      </x:c>
      <x:c r="Q101" s="42" t="n">
        <x:v>46276</x:v>
      </x:c>
      <x:c r="R101" s="42" t="n">
        <x:v>46292</x:v>
      </x:c>
      <x:c r="S101" s="42" t="n">
        <x:v>46312</x:v>
      </x:c>
      <x:c r="T101" s="43" t="n">
        <x:f>$L101-TODAY()</x:f>
        <x:v>157</x:v>
      </x:c>
    </x:row>
    <x:row r="102" ht="42" hidden="0" customHeight="1">
      <x:c r="A102" s="41" t="str">
        <x:v>Sterile Processing Week</x:v>
      </x:c>
      <x:c r="B102" s="41" t="str">
        <x:v>无菌处理专业人员周</x:v>
      </x:c>
      <x:c r="C102" s="41" t="str">
        <x:v>表彰医院无菌处理/CSSD/SPD团队，适合sterile processing gifts。</x:v>
      </x:c>
      <x:c r="D102" s="41" t="str">
        <x:v>2026-10-11 ~ 2026-10-17</x:v>
      </x:c>
      <x:c r="E102" s="41" t="str">
        <x:v>每年变动</x:v>
      </x:c>
      <x:c r="F102" s="41" t="str">
        <x:v>hospital staff gifts、healthcare worker bulk gifts、感谢卡/钥匙扣</x:v>
      </x:c>
      <x:c r="G102" s="41" t="str">
        <x:v>2026-07-28 ~ 2026-08-12：按职业词筛SKU，核库存、历史动销和礼品适配。</x:v>
      </x:c>
      <x:c r="H102" s="41" t="str">
        <x:v>2026-09-01 ~ 2026-09-11：建/补广告组，补关键词/ASIN，处理低效流量。</x:v>
      </x:c>
      <x:c r="I102" s="41" t="str">
        <x:v>2026-09-27 ~ 2026-10-17：高库存/高花费SKU每日看，其余2-3天看。</x:v>
      </x:c>
      <x:c r="J102" s="41" t="str">
        <x:f>IF(AND(TODAY()&gt;=$L102,TODAY()&lt;=$M102),"节点进行中",IF(AND(TODAY()&gt;=$R102,TODAY()&lt;=$S102),"高频跟进",IF(AND(TODAY()&gt;=$P102,TODAY()&lt;=$Q102),"二次排查",IF(AND(TODAY()&gt;=$N102,TODAY()&lt;=$O102),"一次排查",IF(TODAY()&lt;$N102,"未到排查",IF(TODAY()&lt;$L102,"等待下一窗口","已过"))))))</x:f>
        <x:v>未到排查</x:v>
      </x:c>
      <x:c r="K102" s="41" t="str">
        <x:f>IF($J102="节点进行中","今天正在节点/销售窗口内：看销量、库存承接、广告花费、转化和是否需要控投/清尾。",IF($J102="高频跟进","今天在高频跟进窗口：头部SKU每日看；重点看高库存、高花费、断货风险和ACOS。",IF($J102="二次排查","今天在二次排查窗口：补广告结构、关键词/ASIN、预算和Listing埋词。",IF($J102="一次排查","今天在一次排查窗口：先筛SKU，看历史动销、库存、利润和Listing匹配。",IF($J102="未到排查","暂不处理，等一次排查窗口。",IF($J102="等待下一窗口","暂不在排查窗口；等高频或节点开始，除非有库存/广告异常。","已过：复盘、降投、清尾或沉淀明年节点。"))))))</x:f>
        <x:v>暂不处理，等一次排查窗口。</x:v>
      </x:c>
      <x:c r="L102" s="42" t="n">
        <x:v>46306</x:v>
      </x:c>
      <x:c r="M102" s="42" t="n">
        <x:v>46312</x:v>
      </x:c>
      <x:c r="N102" s="42" t="n">
        <x:v>46231</x:v>
      </x:c>
      <x:c r="O102" s="42" t="n">
        <x:v>46246</x:v>
      </x:c>
      <x:c r="P102" s="42" t="n">
        <x:v>46266</x:v>
      </x:c>
      <x:c r="Q102" s="42" t="n">
        <x:v>46276</x:v>
      </x:c>
      <x:c r="R102" s="42" t="n">
        <x:v>46292</x:v>
      </x:c>
      <x:c r="S102" s="42" t="n">
        <x:v>46312</x:v>
      </x:c>
      <x:c r="T102" s="43" t="n">
        <x:f>$L102-TODAY()</x:f>
        <x:v>157</x:v>
      </x:c>
    </x:row>
    <x:row r="103" ht="42" hidden="0" customHeight="1">
      <x:c r="A103" s="41" t="str">
        <x:v>Veterinary Technician Week / Vet Tech Week</x:v>
      </x:c>
      <x:c r="B103" s="41" t="str">
        <x:v>兽医技术员周</x:v>
      </x:c>
      <x:c r="C103" s="41" t="str">
        <x:v>表彰兽医技术员，适合vet tech、animal care相关感谢礼。</x:v>
      </x:c>
      <x:c r="D103" s="41" t="str">
        <x:v>2026-10-11 ~ 2026-10-17</x:v>
      </x:c>
      <x:c r="E103" s="41" t="str">
        <x:v>每年变动</x:v>
      </x:c>
      <x:c r="F103" s="41" t="str">
        <x:v>vet/vet tech/vet receptionist gifts、paw print宠物元素感谢礼</x:v>
      </x:c>
      <x:c r="G103" s="41" t="str">
        <x:v>2026-07-28 ~ 2026-08-12：按职业词筛SKU，核库存、历史动销和礼品适配。</x:v>
      </x:c>
      <x:c r="H103" s="41" t="str">
        <x:v>2026-09-01 ~ 2026-09-11：建/补广告组，补关键词/ASIN，处理低效流量。</x:v>
      </x:c>
      <x:c r="I103" s="41" t="str">
        <x:v>2026-09-27 ~ 2026-10-17：高库存/高花费SKU每日看，其余2-3天看。</x:v>
      </x:c>
      <x:c r="J103" s="41" t="str">
        <x:f>IF(AND(TODAY()&gt;=$L103,TODAY()&lt;=$M103),"节点进行中",IF(AND(TODAY()&gt;=$R103,TODAY()&lt;=$S103),"高频跟进",IF(AND(TODAY()&gt;=$P103,TODAY()&lt;=$Q103),"二次排查",IF(AND(TODAY()&gt;=$N103,TODAY()&lt;=$O103),"一次排查",IF(TODAY()&lt;$N103,"未到排查",IF(TODAY()&lt;$L103,"等待下一窗口","已过"))))))</x:f>
        <x:v>未到排查</x:v>
      </x:c>
      <x:c r="K103" s="41" t="str">
        <x:f>IF($J103="节点进行中","今天正在节点/销售窗口内：看销量、库存承接、广告花费、转化和是否需要控投/清尾。",IF($J103="高频跟进","今天在高频跟进窗口：头部SKU每日看；重点看高库存、高花费、断货风险和ACOS。",IF($J103="二次排查","今天在二次排查窗口：补广告结构、关键词/ASIN、预算和Listing埋词。",IF($J103="一次排查","今天在一次排查窗口：先筛SKU，看历史动销、库存、利润和Listing匹配。",IF($J103="未到排查","暂不处理，等一次排查窗口。",IF($J103="等待下一窗口","暂不在排查窗口；等高频或节点开始，除非有库存/广告异常。","已过：复盘、降投、清尾或沉淀明年节点。"))))))</x:f>
        <x:v>暂不处理，等一次排查窗口。</x:v>
      </x:c>
      <x:c r="L103" s="42" t="n">
        <x:v>46306</x:v>
      </x:c>
      <x:c r="M103" s="42" t="n">
        <x:v>46312</x:v>
      </x:c>
      <x:c r="N103" s="42" t="n">
        <x:v>46231</x:v>
      </x:c>
      <x:c r="O103" s="42" t="n">
        <x:v>46246</x:v>
      </x:c>
      <x:c r="P103" s="42" t="n">
        <x:v>46266</x:v>
      </x:c>
      <x:c r="Q103" s="42" t="n">
        <x:v>46276</x:v>
      </x:c>
      <x:c r="R103" s="42" t="n">
        <x:v>46292</x:v>
      </x:c>
      <x:c r="S103" s="42" t="n">
        <x:v>46312</x:v>
      </x:c>
      <x:c r="T103" s="43" t="n">
        <x:f>$L103-TODAY()</x:f>
        <x:v>157</x:v>
      </x:c>
    </x:row>
    <x:row r="104" ht="42" hidden="0" customHeight="1">
      <x:c r="A104" s="41" t="str">
        <x:v>Boss's Day</x:v>
      </x:c>
      <x:c r="B104" s="41" t="str">
        <x:v>老板节/上司节</x:v>
      </x:c>
      <x:c r="C104" s="41" t="str">
        <x:v>感谢老板、主管、经理的职场礼品节点。</x:v>
      </x:c>
      <x:c r="D104" s="41" t="str">
        <x:v>2026-10-16</x:v>
      </x:c>
      <x:c r="E104" s="41" t="str">
        <x:v>基本固定</x:v>
      </x:c>
      <x:c r="F104" s="41" t="str">
        <x:v>boss gifts、office thank you礼、桌面小物、卡片</x:v>
      </x:c>
      <x:c r="G104" s="41" t="str">
        <x:v>2026-08-17 ~ 2026-09-01：先筛匹配SKU、历史销量、库存和利润空间。</x:v>
      </x:c>
      <x:c r="H104" s="41" t="str">
        <x:v>2026-09-16 ~ 2026-09-25：补关键词/ASIN、Listing埋词和广告预算。</x:v>
      </x:c>
      <x:c r="I104" s="41" t="str">
        <x:v>2026-10-02 ~ 2026-10-18：重点SKU每日看，普通SKU每2-3天看。</x:v>
      </x:c>
      <x:c r="J104" s="41" t="str">
        <x:f>IF(AND(TODAY()&gt;=$L104,TODAY()&lt;=$M104),"节点进行中",IF(AND(TODAY()&gt;=$R104,TODAY()&lt;=$S104),"高频跟进",IF(AND(TODAY()&gt;=$P104,TODAY()&lt;=$Q104),"二次排查",IF(AND(TODAY()&gt;=$N104,TODAY()&lt;=$O104),"一次排查",IF(TODAY()&lt;$N104,"未到排查",IF(TODAY()&lt;$L104,"等待下一窗口","已过"))))))</x:f>
        <x:v>未到排查</x:v>
      </x:c>
      <x:c r="K104" s="41" t="str">
        <x:f>IF($J104="节点进行中","今天正在节点/销售窗口内：看销量、库存承接、广告花费、转化和是否需要控投/清尾。",IF($J104="高频跟进","今天在高频跟进窗口：头部SKU每日看；重点看高库存、高花费、断货风险和ACOS。",IF($J104="二次排查","今天在二次排查窗口：补广告结构、关键词/ASIN、预算和Listing埋词。",IF($J104="一次排查","今天在一次排查窗口：先筛SKU，看历史动销、库存、利润和Listing匹配。",IF($J104="未到排查","暂不处理，等一次排查窗口。",IF($J104="等待下一窗口","暂不在排查窗口；等高频或节点开始，除非有库存/广告异常。","已过：复盘、降投、清尾或沉淀明年节点。"))))))</x:f>
        <x:v>暂不处理，等一次排查窗口。</x:v>
      </x:c>
      <x:c r="L104" s="42" t="n">
        <x:v>46311</x:v>
      </x:c>
      <x:c r="M104" s="42" t="n">
        <x:v>46311</x:v>
      </x:c>
      <x:c r="N104" s="42" t="n">
        <x:v>46251</x:v>
      </x:c>
      <x:c r="O104" s="42" t="n">
        <x:v>46266</x:v>
      </x:c>
      <x:c r="P104" s="42" t="n">
        <x:v>46281</x:v>
      </x:c>
      <x:c r="Q104" s="42" t="n">
        <x:v>46290</x:v>
      </x:c>
      <x:c r="R104" s="42" t="n">
        <x:v>46297</x:v>
      </x:c>
      <x:c r="S104" s="42" t="n">
        <x:v>46313</x:v>
      </x:c>
      <x:c r="T104" s="43" t="n">
        <x:f>$L104-TODAY()</x:f>
        <x:v>162</x:v>
      </x:c>
    </x:row>
    <x:row r="105" ht="42" hidden="0" customHeight="1">
      <x:c r="A105" s="41" t="str">
        <x:v>Sweetest Day</x:v>
      </x:c>
      <x:c r="B105" s="41" t="str">
        <x:v>甜蜜日</x:v>
      </x:c>
      <x:c r="C105" s="41" t="str">
        <x:v>美国中西部较流行的小型浪漫礼赠节点，适合情侣、小礼物、糖果。</x:v>
      </x:c>
      <x:c r="D105" s="41" t="str">
        <x:v>2026-10-17</x:v>
      </x:c>
      <x:c r="E105" s="41" t="str">
        <x:v>每年变动</x:v>
      </x:c>
      <x:c r="F105" s="41" t="str">
        <x:v>情侣/闺蜜礼、爱心卡、bracelet、pocket hug、小饰品</x:v>
      </x:c>
      <x:c r="G105" s="41" t="str">
        <x:v>2026-06-19 ~ 2026-07-19：先看历史销量、库存/FBA承接、是否需要改Listing。</x:v>
      </x:c>
      <x:c r="H105" s="41" t="str">
        <x:v>2026-08-18 ~ 2026-09-02：广告结构、关键词/ASIN、标题主图必须基本到位。</x:v>
      </x:c>
      <x:c r="I105" s="41" t="str">
        <x:v>2026-09-26 ~ 2026-10-20：头部SKU每日看，过后及时降投/清尾。</x:v>
      </x:c>
      <x:c r="J105" s="41" t="str">
        <x:f>IF(AND(TODAY()&gt;=$L105,TODAY()&lt;=$M105),"节点进行中",IF(AND(TODAY()&gt;=$R105,TODAY()&lt;=$S105),"高频跟进",IF(AND(TODAY()&gt;=$P105,TODAY()&lt;=$Q105),"二次排查",IF(AND(TODAY()&gt;=$N105,TODAY()&lt;=$O105),"一次排查",IF(TODAY()&lt;$N105,"未到排查",IF(TODAY()&lt;$L105,"等待下一窗口","已过"))))))</x:f>
        <x:v>未到排查</x:v>
      </x:c>
      <x:c r="K105" s="41" t="str">
        <x:f>IF($J105="节点进行中","今天正在节点/销售窗口内：看销量、库存承接、广告花费、转化和是否需要控投/清尾。",IF($J105="高频跟进","今天在高频跟进窗口：头部SKU每日看；重点看高库存、高花费、断货风险和ACOS。",IF($J105="二次排查","今天在二次排查窗口：补广告结构、关键词/ASIN、预算和Listing埋词。",IF($J105="一次排查","今天在一次排查窗口：先筛SKU，看历史动销、库存、利润和Listing匹配。",IF($J105="未到排查","暂不处理，等一次排查窗口。",IF($J105="等待下一窗口","暂不在排查窗口；等高频或节点开始，除非有库存/广告异常。","已过：复盘、降投、清尾或沉淀明年节点。"))))))</x:f>
        <x:v>暂不处理，等一次排查窗口。</x:v>
      </x:c>
      <x:c r="L105" s="42" t="n">
        <x:v>46312</x:v>
      </x:c>
      <x:c r="M105" s="42" t="n">
        <x:v>46312</x:v>
      </x:c>
      <x:c r="N105" s="42" t="n">
        <x:v>46192</x:v>
      </x:c>
      <x:c r="O105" s="42" t="n">
        <x:v>46222</x:v>
      </x:c>
      <x:c r="P105" s="42" t="n">
        <x:v>46252</x:v>
      </x:c>
      <x:c r="Q105" s="42" t="n">
        <x:v>46267</x:v>
      </x:c>
      <x:c r="R105" s="42" t="n">
        <x:v>46291</x:v>
      </x:c>
      <x:c r="S105" s="42" t="n">
        <x:v>46315</x:v>
      </x:c>
      <x:c r="T105" s="43" t="n">
        <x:f>$L105-TODAY()</x:f>
        <x:v>163</x:v>
      </x:c>
    </x:row>
    <x:row r="106" ht="42" hidden="0" customHeight="1">
      <x:c r="A106" s="41" t="str">
        <x:v>Medical Assistants Recognition Week</x:v>
      </x:c>
      <x:c r="B106" s="41" t="str">
        <x:v>医疗助理表彰周</x:v>
      </x:c>
      <x:c r="C106" s="41" t="str">
        <x:v>表彰医疗助理，适合medical assistant appreciation gifts。</x:v>
      </x:c>
      <x:c r="D106" s="41" t="str">
        <x:v>2026-10-19 ~ 2026-10-23</x:v>
      </x:c>
      <x:c r="E106" s="41" t="str">
        <x:v>每年变动</x:v>
      </x:c>
      <x:c r="F106" s="41" t="str">
        <x:v>medical assistant gifts、MA week感谢礼、badge reel、钥匙扣</x:v>
      </x:c>
      <x:c r="G106" s="41" t="str">
        <x:v>2026-08-05 ~ 2026-08-20：按职业词筛SKU，核库存、历史动销和礼品适配。</x:v>
      </x:c>
      <x:c r="H106" s="41" t="str">
        <x:v>2026-09-09 ~ 2026-09-19：建/补广告组，补关键词/ASIN，处理低效流量。</x:v>
      </x:c>
      <x:c r="I106" s="41" t="str">
        <x:v>2026-10-05 ~ 2026-10-23：高库存/高花费SKU每日看，其余2-3天看。</x:v>
      </x:c>
      <x:c r="J106" s="41" t="str">
        <x:f>IF(AND(TODAY()&gt;=$L106,TODAY()&lt;=$M106),"节点进行中",IF(AND(TODAY()&gt;=$R106,TODAY()&lt;=$S106),"高频跟进",IF(AND(TODAY()&gt;=$P106,TODAY()&lt;=$Q106),"二次排查",IF(AND(TODAY()&gt;=$N106,TODAY()&lt;=$O106),"一次排查",IF(TODAY()&lt;$N106,"未到排查",IF(TODAY()&lt;$L106,"等待下一窗口","已过"))))))</x:f>
        <x:v>未到排查</x:v>
      </x:c>
      <x:c r="K106" s="41" t="str">
        <x:f>IF($J106="节点进行中","今天正在节点/销售窗口内：看销量、库存承接、广告花费、转化和是否需要控投/清尾。",IF($J106="高频跟进","今天在高频跟进窗口：头部SKU每日看；重点看高库存、高花费、断货风险和ACOS。",IF($J106="二次排查","今天在二次排查窗口：补广告结构、关键词/ASIN、预算和Listing埋词。",IF($J106="一次排查","今天在一次排查窗口：先筛SKU，看历史动销、库存、利润和Listing匹配。",IF($J106="未到排查","暂不处理，等一次排查窗口。",IF($J106="等待下一窗口","暂不在排查窗口；等高频或节点开始，除非有库存/广告异常。","已过：复盘、降投、清尾或沉淀明年节点。"))))))</x:f>
        <x:v>暂不处理，等一次排查窗口。</x:v>
      </x:c>
      <x:c r="L106" s="42" t="n">
        <x:v>46314</x:v>
      </x:c>
      <x:c r="M106" s="42" t="n">
        <x:v>46318</x:v>
      </x:c>
      <x:c r="N106" s="42" t="n">
        <x:v>46239</x:v>
      </x:c>
      <x:c r="O106" s="42" t="n">
        <x:v>46254</x:v>
      </x:c>
      <x:c r="P106" s="42" t="n">
        <x:v>46274</x:v>
      </x:c>
      <x:c r="Q106" s="42" t="n">
        <x:v>46284</x:v>
      </x:c>
      <x:c r="R106" s="42" t="n">
        <x:v>46300</x:v>
      </x:c>
      <x:c r="S106" s="42" t="n">
        <x:v>46318</x:v>
      </x:c>
      <x:c r="T106" s="43" t="n">
        <x:f>$L106-TODAY()</x:f>
        <x:v>165</x:v>
      </x:c>
    </x:row>
    <x:row r="107" ht="42" hidden="0" customHeight="1">
      <x:c r="A107" s="41" t="str">
        <x:v>Medical Assistants Recognition Day</x:v>
      </x:c>
      <x:c r="B107" s="41" t="str">
        <x:v>医疗助理表彰日</x:v>
      </x:c>
      <x:c r="C107" s="41" t="str">
        <x:v>医疗助理周内核心单日，适合MA Day、medical assistant gift关键词。</x:v>
      </x:c>
      <x:c r="D107" s="41" t="str">
        <x:v>2026-10-21</x:v>
      </x:c>
      <x:c r="E107" s="41" t="str">
        <x:v>每年变动</x:v>
      </x:c>
      <x:c r="F107" s="41" t="str">
        <x:v>medical assistant gifts、MA week感谢礼、badge reel、钥匙扣</x:v>
      </x:c>
      <x:c r="G107" s="41" t="str">
        <x:v>2026-08-22 ~ 2026-09-06：先筛匹配SKU、历史销量、库存和利润空间。</x:v>
      </x:c>
      <x:c r="H107" s="41" t="str">
        <x:v>2026-09-21 ~ 2026-09-30：补关键词/ASIN、Listing埋词和广告预算。</x:v>
      </x:c>
      <x:c r="I107" s="41" t="str">
        <x:v>2026-10-07 ~ 2026-10-23：重点SKU每日看，普通SKU每2-3天看。</x:v>
      </x:c>
      <x:c r="J107" s="41" t="str">
        <x:f>IF(AND(TODAY()&gt;=$L107,TODAY()&lt;=$M107),"节点进行中",IF(AND(TODAY()&gt;=$R107,TODAY()&lt;=$S107),"高频跟进",IF(AND(TODAY()&gt;=$P107,TODAY()&lt;=$Q107),"二次排查",IF(AND(TODAY()&gt;=$N107,TODAY()&lt;=$O107),"一次排查",IF(TODAY()&lt;$N107,"未到排查",IF(TODAY()&lt;$L107,"等待下一窗口","已过"))))))</x:f>
        <x:v>未到排查</x:v>
      </x:c>
      <x:c r="K107" s="41" t="str">
        <x:f>IF($J107="节点进行中","今天正在节点/销售窗口内：看销量、库存承接、广告花费、转化和是否需要控投/清尾。",IF($J107="高频跟进","今天在高频跟进窗口：头部SKU每日看；重点看高库存、高花费、断货风险和ACOS。",IF($J107="二次排查","今天在二次排查窗口：补广告结构、关键词/ASIN、预算和Listing埋词。",IF($J107="一次排查","今天在一次排查窗口：先筛SKU，看历史动销、库存、利润和Listing匹配。",IF($J107="未到排查","暂不处理，等一次排查窗口。",IF($J107="等待下一窗口","暂不在排查窗口；等高频或节点开始，除非有库存/广告异常。","已过：复盘、降投、清尾或沉淀明年节点。"))))))</x:f>
        <x:v>暂不处理，等一次排查窗口。</x:v>
      </x:c>
      <x:c r="L107" s="42" t="n">
        <x:v>46316</x:v>
      </x:c>
      <x:c r="M107" s="42" t="n">
        <x:v>46316</x:v>
      </x:c>
      <x:c r="N107" s="42" t="n">
        <x:v>46256</x:v>
      </x:c>
      <x:c r="O107" s="42" t="n">
        <x:v>46271</x:v>
      </x:c>
      <x:c r="P107" s="42" t="n">
        <x:v>46286</x:v>
      </x:c>
      <x:c r="Q107" s="42" t="n">
        <x:v>46295</x:v>
      </x:c>
      <x:c r="R107" s="42" t="n">
        <x:v>46302</x:v>
      </x:c>
      <x:c r="S107" s="42" t="n">
        <x:v>46318</x:v>
      </x:c>
      <x:c r="T107" s="43" t="n">
        <x:f>$L107-TODAY()</x:f>
        <x:v>167</x:v>
      </x:c>
    </x:row>
    <x:row r="108" ht="42" hidden="0" customHeight="1">
      <x:c r="A108" s="41" t="str">
        <x:v>National Pharmacy Week</x:v>
      </x:c>
      <x:c r="B108" s="41" t="str">
        <x:v>全国药房/药剂师周</x:v>
      </x:c>
      <x:c r="C108" s="41" t="str">
        <x:v>表彰药剂师与药房技术人员，适合pharmacist/pharmacy tech gifts。</x:v>
      </x:c>
      <x:c r="D108" s="41" t="str">
        <x:v>2026-10-18 ~ 2026-10-24</x:v>
      </x:c>
      <x:c r="E108" s="41" t="str">
        <x:v>每年变动</x:v>
      </x:c>
      <x:c r="F108" s="41" t="str">
        <x:v>pharmacist/pharmacy tech gifts、药剂师感谢礼、badge reel</x:v>
      </x:c>
      <x:c r="G108" s="41" t="str">
        <x:v>2026-08-04 ~ 2026-08-19：按职业词筛SKU，核库存、历史动销和礼品适配。</x:v>
      </x:c>
      <x:c r="H108" s="41" t="str">
        <x:v>2026-09-08 ~ 2026-09-18：建/补广告组，补关键词/ASIN，处理低效流量。</x:v>
      </x:c>
      <x:c r="I108" s="41" t="str">
        <x:v>2026-10-04 ~ 2026-10-24：高库存/高花费SKU每日看，其余2-3天看。</x:v>
      </x:c>
      <x:c r="J108" s="41" t="str">
        <x:f>IF(AND(TODAY()&gt;=$L108,TODAY()&lt;=$M108),"节点进行中",IF(AND(TODAY()&gt;=$R108,TODAY()&lt;=$S108),"高频跟进",IF(AND(TODAY()&gt;=$P108,TODAY()&lt;=$Q108),"二次排查",IF(AND(TODAY()&gt;=$N108,TODAY()&lt;=$O108),"一次排查",IF(TODAY()&lt;$N108,"未到排查",IF(TODAY()&lt;$L108,"等待下一窗口","已过"))))))</x:f>
        <x:v>未到排查</x:v>
      </x:c>
      <x:c r="K108" s="41" t="str">
        <x:f>IF($J108="节点进行中","今天正在节点/销售窗口内：看销量、库存承接、广告花费、转化和是否需要控投/清尾。",IF($J108="高频跟进","今天在高频跟进窗口：头部SKU每日看；重点看高库存、高花费、断货风险和ACOS。",IF($J108="二次排查","今天在二次排查窗口：补广告结构、关键词/ASIN、预算和Listing埋词。",IF($J108="一次排查","今天在一次排查窗口：先筛SKU，看历史动销、库存、利润和Listing匹配。",IF($J108="未到排查","暂不处理，等一次排查窗口。",IF($J108="等待下一窗口","暂不在排查窗口；等高频或节点开始，除非有库存/广告异常。","已过：复盘、降投、清尾或沉淀明年节点。"))))))</x:f>
        <x:v>暂不处理，等一次排查窗口。</x:v>
      </x:c>
      <x:c r="L108" s="42" t="n">
        <x:v>46313</x:v>
      </x:c>
      <x:c r="M108" s="42" t="n">
        <x:v>46319</x:v>
      </x:c>
      <x:c r="N108" s="42" t="n">
        <x:v>46238</x:v>
      </x:c>
      <x:c r="O108" s="42" t="n">
        <x:v>46253</x:v>
      </x:c>
      <x:c r="P108" s="42" t="n">
        <x:v>46273</x:v>
      </x:c>
      <x:c r="Q108" s="42" t="n">
        <x:v>46283</x:v>
      </x:c>
      <x:c r="R108" s="42" t="n">
        <x:v>46299</x:v>
      </x:c>
      <x:c r="S108" s="42" t="n">
        <x:v>46319</x:v>
      </x:c>
      <x:c r="T108" s="43" t="n">
        <x:f>$L108-TODAY()</x:f>
        <x:v>164</x:v>
      </x:c>
    </x:row>
    <x:row r="109" ht="42" hidden="0" customHeight="1">
      <x:c r="A109" s="41" t="str">
        <x:v>Respiratory Care Week</x:v>
      </x:c>
      <x:c r="B109" s="41" t="str">
        <x:v>呼吸治疗周</x:v>
      </x:c>
      <x:c r="C109" s="41" t="str">
        <x:v>表彰呼吸治疗师，适合respiratory therapist/RT gifts。</x:v>
      </x:c>
      <x:c r="D109" s="41" t="str">
        <x:v>2026-10-25 ~ 2026-10-31</x:v>
      </x:c>
      <x:c r="E109" s="41" t="str">
        <x:v>每年变动：官方2026口径</x:v>
      </x:c>
      <x:c r="F109" s="41" t="str">
        <x:v>respiratory therapist gifts、RT week感谢礼、badge reel</x:v>
      </x:c>
      <x:c r="G109" s="41" t="str">
        <x:v>2026-08-11 ~ 2026-08-26：按职业词筛SKU，核库存、历史动销和礼品适配。</x:v>
      </x:c>
      <x:c r="H109" s="41" t="str">
        <x:v>2026-09-15 ~ 2026-09-25：建/补广告组，补关键词/ASIN，处理低效流量。</x:v>
      </x:c>
      <x:c r="I109" s="41" t="str">
        <x:v>2026-10-11 ~ 2026-10-31：高库存/高花费SKU每日看，其余2-3天看。</x:v>
      </x:c>
      <x:c r="J109" s="41" t="str">
        <x:f>IF(AND(TODAY()&gt;=$L109,TODAY()&lt;=$M109),"节点进行中",IF(AND(TODAY()&gt;=$R109,TODAY()&lt;=$S109),"高频跟进",IF(AND(TODAY()&gt;=$P109,TODAY()&lt;=$Q109),"二次排查",IF(AND(TODAY()&gt;=$N109,TODAY()&lt;=$O109),"一次排查",IF(TODAY()&lt;$N109,"未到排查",IF(TODAY()&lt;$L109,"等待下一窗口","已过"))))))</x:f>
        <x:v>未到排查</x:v>
      </x:c>
      <x:c r="K109" s="41" t="str">
        <x:f>IF($J109="节点进行中","今天正在节点/销售窗口内：看销量、库存承接、广告花费、转化和是否需要控投/清尾。",IF($J109="高频跟进","今天在高频跟进窗口：头部SKU每日看；重点看高库存、高花费、断货风险和ACOS。",IF($J109="二次排查","今天在二次排查窗口：补广告结构、关键词/ASIN、预算和Listing埋词。",IF($J109="一次排查","今天在一次排查窗口：先筛SKU，看历史动销、库存、利润和Listing匹配。",IF($J109="未到排查","暂不处理，等一次排查窗口。",IF($J109="等待下一窗口","暂不在排查窗口；等高频或节点开始，除非有库存/广告异常。","已过：复盘、降投、清尾或沉淀明年节点。"))))))</x:f>
        <x:v>暂不处理，等一次排查窗口。</x:v>
      </x:c>
      <x:c r="L109" s="42" t="n">
        <x:v>46320</x:v>
      </x:c>
      <x:c r="M109" s="42" t="n">
        <x:v>46326</x:v>
      </x:c>
      <x:c r="N109" s="42" t="n">
        <x:v>46245</x:v>
      </x:c>
      <x:c r="O109" s="42" t="n">
        <x:v>46260</x:v>
      </x:c>
      <x:c r="P109" s="42" t="n">
        <x:v>46280</x:v>
      </x:c>
      <x:c r="Q109" s="42" t="n">
        <x:v>46290</x:v>
      </x:c>
      <x:c r="R109" s="42" t="n">
        <x:v>46306</x:v>
      </x:c>
      <x:c r="S109" s="42" t="n">
        <x:v>46326</x:v>
      </x:c>
      <x:c r="T109" s="43" t="n">
        <x:f>$L109-TODAY()</x:f>
        <x:v>171</x:v>
      </x:c>
    </x:row>
    <x:row r="110" ht="42" hidden="0" customHeight="1">
      <x:c r="A110" s="41" t="str">
        <x:v>Halloween</x:v>
      </x:c>
      <x:c r="B110" s="41" t="str">
        <x:v>万圣节</x:v>
      </x:c>
      <x:c r="C110" s="41" t="str">
        <x:v>美国秋季核心节日，带动装饰、服饰、派对、糖果和哥特元素。</x:v>
      </x:c>
      <x:c r="D110" s="41" t="str">
        <x:v>2026-10-31</x:v>
      </x:c>
      <x:c r="E110" s="41" t="str">
        <x:v>固定日期</x:v>
      </x:c>
      <x:c r="F110" s="41" t="str">
        <x:v>万圣节装饰、糖果袋、南瓜/幽灵元素、party favors</x:v>
      </x:c>
      <x:c r="G110" s="41" t="str">
        <x:v>2026-07-03 ~ 2026-08-02：先看历史销量、库存/FBA承接、是否需要改Listing。</x:v>
      </x:c>
      <x:c r="H110" s="41" t="str">
        <x:v>2026-09-01 ~ 2026-09-16：广告结构、关键词/ASIN、标题主图必须基本到位。</x:v>
      </x:c>
      <x:c r="I110" s="41" t="str">
        <x:v>2026-10-10 ~ 2026-11-03：头部SKU每日看，过后及时降投/清尾。</x:v>
      </x:c>
      <x:c r="J110" s="41" t="str">
        <x:f>IF(AND(TODAY()&gt;=$L110,TODAY()&lt;=$M110),"节点进行中",IF(AND(TODAY()&gt;=$R110,TODAY()&lt;=$S110),"高频跟进",IF(AND(TODAY()&gt;=$P110,TODAY()&lt;=$Q110),"二次排查",IF(AND(TODAY()&gt;=$N110,TODAY()&lt;=$O110),"一次排查",IF(TODAY()&lt;$N110,"未到排查",IF(TODAY()&lt;$L110,"等待下一窗口","已过"))))))</x:f>
        <x:v>未到排查</x:v>
      </x:c>
      <x:c r="K110" s="41" t="str">
        <x:f>IF($J110="节点进行中","今天正在节点/销售窗口内：看销量、库存承接、广告花费、转化和是否需要控投/清尾。",IF($J110="高频跟进","今天在高频跟进窗口：头部SKU每日看；重点看高库存、高花费、断货风险和ACOS。",IF($J110="二次排查","今天在二次排查窗口：补广告结构、关键词/ASIN、预算和Listing埋词。",IF($J110="一次排查","今天在一次排查窗口：先筛SKU，看历史动销、库存、利润和Listing匹配。",IF($J110="未到排查","暂不处理，等一次排查窗口。",IF($J110="等待下一窗口","暂不在排查窗口；等高频或节点开始，除非有库存/广告异常。","已过：复盘、降投、清尾或沉淀明年节点。"))))))</x:f>
        <x:v>暂不处理，等一次排查窗口。</x:v>
      </x:c>
      <x:c r="L110" s="42" t="n">
        <x:v>46326</x:v>
      </x:c>
      <x:c r="M110" s="42" t="n">
        <x:v>46326</x:v>
      </x:c>
      <x:c r="N110" s="42" t="n">
        <x:v>46206</x:v>
      </x:c>
      <x:c r="O110" s="42" t="n">
        <x:v>46236</x:v>
      </x:c>
      <x:c r="P110" s="42" t="n">
        <x:v>46266</x:v>
      </x:c>
      <x:c r="Q110" s="42" t="n">
        <x:v>46281</x:v>
      </x:c>
      <x:c r="R110" s="42" t="n">
        <x:v>46305</x:v>
      </x:c>
      <x:c r="S110" s="42" t="n">
        <x:v>46329</x:v>
      </x:c>
      <x:c r="T110" s="43" t="n">
        <x:f>$L110-TODAY()</x:f>
        <x:v>177</x:v>
      </x:c>
    </x:row>
    <x:row r="111" ht="42" hidden="0" customHeight="1">
      <x:c r="A111" s="41" t="str">
        <x:v>Day of the Dead</x:v>
      </x:c>
      <x:c r="B111" s="41" t="str">
        <x:v>亡灵节/墨西哥亡灵节</x:v>
      </x:c>
      <x:c r="C111" s="41" t="str">
        <x:v>拉美文化纪念先人的节日，适合骷髅、万寿菊、祭坛装饰。</x:v>
      </x:c>
      <x:c r="D111" s="41" t="str">
        <x:v>2026-11-01 ~ 2026-11-02</x:v>
      </x:c>
      <x:c r="E111" s="41" t="str">
        <x:v>固定区间</x:v>
      </x:c>
      <x:c r="F111" s="41" t="str">
        <x:v>骷髅/万寿菊主题装饰、墨西哥文化礼品、派对用品</x:v>
      </x:c>
      <x:c r="G111" s="41" t="str">
        <x:v>2026-09-02 ~ 2026-09-17：先筛匹配SKU、历史销量、库存和利润空间。</x:v>
      </x:c>
      <x:c r="H111" s="41" t="str">
        <x:v>2026-10-02 ~ 2026-10-11：补关键词/ASIN、Listing埋词和广告预算。</x:v>
      </x:c>
      <x:c r="I111" s="41" t="str">
        <x:v>2026-10-18 ~ 2026-11-04：重点SKU每日看，普通SKU每2-3天看。</x:v>
      </x:c>
      <x:c r="J111" s="41" t="str">
        <x:f>IF(AND(TODAY()&gt;=$L111,TODAY()&lt;=$M111),"节点进行中",IF(AND(TODAY()&gt;=$R111,TODAY()&lt;=$S111),"高频跟进",IF(AND(TODAY()&gt;=$P111,TODAY()&lt;=$Q111),"二次排查",IF(AND(TODAY()&gt;=$N111,TODAY()&lt;=$O111),"一次排查",IF(TODAY()&lt;$N111,"未到排查",IF(TODAY()&lt;$L111,"等待下一窗口","已过"))))))</x:f>
        <x:v>未到排查</x:v>
      </x:c>
      <x:c r="K111" s="41" t="str">
        <x:f>IF($J111="节点进行中","今天正在节点/销售窗口内：看销量、库存承接、广告花费、转化和是否需要控投/清尾。",IF($J111="高频跟进","今天在高频跟进窗口：头部SKU每日看；重点看高库存、高花费、断货风险和ACOS。",IF($J111="二次排查","今天在二次排查窗口：补广告结构、关键词/ASIN、预算和Listing埋词。",IF($J111="一次排查","今天在一次排查窗口：先筛SKU，看历史动销、库存、利润和Listing匹配。",IF($J111="未到排查","暂不处理，等一次排查窗口。",IF($J111="等待下一窗口","暂不在排查窗口；等高频或节点开始，除非有库存/广告异常。","已过：复盘、降投、清尾或沉淀明年节点。"))))))</x:f>
        <x:v>暂不处理，等一次排查窗口。</x:v>
      </x:c>
      <x:c r="L111" s="42" t="n">
        <x:v>46327</x:v>
      </x:c>
      <x:c r="M111" s="42" t="n">
        <x:v>46328</x:v>
      </x:c>
      <x:c r="N111" s="42" t="n">
        <x:v>46267</x:v>
      </x:c>
      <x:c r="O111" s="42" t="n">
        <x:v>46282</x:v>
      </x:c>
      <x:c r="P111" s="42" t="n">
        <x:v>46297</x:v>
      </x:c>
      <x:c r="Q111" s="42" t="n">
        <x:v>46306</x:v>
      </x:c>
      <x:c r="R111" s="42" t="n">
        <x:v>46313</x:v>
      </x:c>
      <x:c r="S111" s="42" t="n">
        <x:v>46330</x:v>
      </x:c>
      <x:c r="T111" s="43" t="n">
        <x:f>$L111-TODAY()</x:f>
        <x:v>178</x:v>
      </x:c>
    </x:row>
    <x:row r="112" ht="42" hidden="0" customHeight="1">
      <x:c r="A112" s="41" t="str">
        <x:v>National Radiologic Technology Week / Rad Tech Week</x:v>
      </x:c>
      <x:c r="B112" s="41" t="str">
        <x:v>放射技术周/X光技术周</x:v>
      </x:c>
      <x:c r="C112" s="41" t="str">
        <x:v>纪念X射线发现并表彰放射技术人员，适合rad tech gifts。</x:v>
      </x:c>
      <x:c r="D112" s="41" t="str">
        <x:v>2026-11-08 ~ 2026-11-14</x:v>
      </x:c>
      <x:c r="E112" s="41" t="str">
        <x:v>每年变动</x:v>
      </x:c>
      <x:c r="F112" s="41" t="str">
        <x:v>rad tech/x-ray tech gifts、放射技术员感谢礼、钥匙扣</x:v>
      </x:c>
      <x:c r="G112" s="41" t="str">
        <x:v>2026-08-25 ~ 2026-09-09：按职业词筛SKU，核库存、历史动销和礼品适配。</x:v>
      </x:c>
      <x:c r="H112" s="41" t="str">
        <x:v>2026-09-29 ~ 2026-10-09：建/补广告组，补关键词/ASIN，处理低效流量。</x:v>
      </x:c>
      <x:c r="I112" s="41" t="str">
        <x:v>2026-10-25 ~ 2026-11-14：高库存/高花费SKU每日看，其余2-3天看。</x:v>
      </x:c>
      <x:c r="J112" s="41" t="str">
        <x:f>IF(AND(TODAY()&gt;=$L112,TODAY()&lt;=$M112),"节点进行中",IF(AND(TODAY()&gt;=$R112,TODAY()&lt;=$S112),"高频跟进",IF(AND(TODAY()&gt;=$P112,TODAY()&lt;=$Q112),"二次排查",IF(AND(TODAY()&gt;=$N112,TODAY()&lt;=$O112),"一次排查",IF(TODAY()&lt;$N112,"未到排查",IF(TODAY()&lt;$L112,"等待下一窗口","已过"))))))</x:f>
        <x:v>未到排查</x:v>
      </x:c>
      <x:c r="K112" s="41" t="str">
        <x:f>IF($J112="节点进行中","今天正在节点/销售窗口内：看销量、库存承接、广告花费、转化和是否需要控投/清尾。",IF($J112="高频跟进","今天在高频跟进窗口：头部SKU每日看；重点看高库存、高花费、断货风险和ACOS。",IF($J112="二次排查","今天在二次排查窗口：补广告结构、关键词/ASIN、预算和Listing埋词。",IF($J112="一次排查","今天在一次排查窗口：先筛SKU，看历史动销、库存、利润和Listing匹配。",IF($J112="未到排查","暂不处理，等一次排查窗口。",IF($J112="等待下一窗口","暂不在排查窗口；等高频或节点开始，除非有库存/广告异常。","已过：复盘、降投、清尾或沉淀明年节点。"))))))</x:f>
        <x:v>暂不处理，等一次排查窗口。</x:v>
      </x:c>
      <x:c r="L112" s="42" t="n">
        <x:v>46334</x:v>
      </x:c>
      <x:c r="M112" s="42" t="n">
        <x:v>46340</x:v>
      </x:c>
      <x:c r="N112" s="42" t="n">
        <x:v>46259</x:v>
      </x:c>
      <x:c r="O112" s="42" t="n">
        <x:v>46274</x:v>
      </x:c>
      <x:c r="P112" s="42" t="n">
        <x:v>46294</x:v>
      </x:c>
      <x:c r="Q112" s="42" t="n">
        <x:v>46304</x:v>
      </x:c>
      <x:c r="R112" s="42" t="n">
        <x:v>46320</x:v>
      </x:c>
      <x:c r="S112" s="42" t="n">
        <x:v>46340</x:v>
      </x:c>
      <x:c r="T112" s="43" t="n">
        <x:f>$L112-TODAY()</x:f>
        <x:v>185</x:v>
      </x:c>
    </x:row>
    <x:row r="113" ht="42" hidden="0" customHeight="1">
      <x:c r="A113" s="41" t="str">
        <x:v>Nurse Practitioner Week</x:v>
      </x:c>
      <x:c r="B113" s="41" t="str">
        <x:v>执业护士周/高级实践护士周</x:v>
      </x:c>
      <x:c r="C113" s="41" t="str">
        <x:v>表彰Nurse Practitioner的临床贡献，适合NP礼品。</x:v>
      </x:c>
      <x:c r="D113" s="41" t="str">
        <x:v>2026-11-08 ~ 2026-11-14</x:v>
      </x:c>
      <x:c r="E113" s="41" t="str">
        <x:v>每年变动</x:v>
      </x:c>
      <x:c r="F113" s="41" t="str">
        <x:v>NP gifts、nurse practitioner感谢礼、badge reel、钥匙扣</x:v>
      </x:c>
      <x:c r="G113" s="41" t="str">
        <x:v>2026-08-25 ~ 2026-09-09：按职业词筛SKU，核库存、历史动销和礼品适配。</x:v>
      </x:c>
      <x:c r="H113" s="41" t="str">
        <x:v>2026-09-29 ~ 2026-10-09：建/补广告组，补关键词/ASIN，处理低效流量。</x:v>
      </x:c>
      <x:c r="I113" s="41" t="str">
        <x:v>2026-10-25 ~ 2026-11-14：高库存/高花费SKU每日看，其余2-3天看。</x:v>
      </x:c>
      <x:c r="J113" s="41" t="str">
        <x:f>IF(AND(TODAY()&gt;=$L113,TODAY()&lt;=$M113),"节点进行中",IF(AND(TODAY()&gt;=$R113,TODAY()&lt;=$S113),"高频跟进",IF(AND(TODAY()&gt;=$P113,TODAY()&lt;=$Q113),"二次排查",IF(AND(TODAY()&gt;=$N113,TODAY()&lt;=$O113),"一次排查",IF(TODAY()&lt;$N113,"未到排查",IF(TODAY()&lt;$L113,"等待下一窗口","已过"))))))</x:f>
        <x:v>未到排查</x:v>
      </x:c>
      <x:c r="K113" s="41" t="str">
        <x:f>IF($J113="节点进行中","今天正在节点/销售窗口内：看销量、库存承接、广告花费、转化和是否需要控投/清尾。",IF($J113="高频跟进","今天在高频跟进窗口：头部SKU每日看；重点看高库存、高花费、断货风险和ACOS。",IF($J113="二次排查","今天在二次排查窗口：补广告结构、关键词/ASIN、预算和Listing埋词。",IF($J113="一次排查","今天在一次排查窗口：先筛SKU，看历史动销、库存、利润和Listing匹配。",IF($J113="未到排查","暂不处理，等一次排查窗口。",IF($J113="等待下一窗口","暂不在排查窗口；等高频或节点开始，除非有库存/广告异常。","已过：复盘、降投、清尾或沉淀明年节点。"))))))</x:f>
        <x:v>暂不处理，等一次排查窗口。</x:v>
      </x:c>
      <x:c r="L113" s="42" t="n">
        <x:v>46334</x:v>
      </x:c>
      <x:c r="M113" s="42" t="n">
        <x:v>46340</x:v>
      </x:c>
      <x:c r="N113" s="42" t="n">
        <x:v>46259</x:v>
      </x:c>
      <x:c r="O113" s="42" t="n">
        <x:v>46274</x:v>
      </x:c>
      <x:c r="P113" s="42" t="n">
        <x:v>46294</x:v>
      </x:c>
      <x:c r="Q113" s="42" t="n">
        <x:v>46304</x:v>
      </x:c>
      <x:c r="R113" s="42" t="n">
        <x:v>46320</x:v>
      </x:c>
      <x:c r="S113" s="42" t="n">
        <x:v>46340</x:v>
      </x:c>
      <x:c r="T113" s="43" t="n">
        <x:f>$L113-TODAY()</x:f>
        <x:v>185</x:v>
      </x:c>
    </x:row>
    <x:row r="114" ht="42" hidden="0" customHeight="1">
      <x:c r="A114" s="41" t="str">
        <x:v>Perioperative Nurses Week</x:v>
      </x:c>
      <x:c r="B114" s="41" t="str">
        <x:v>围手术期护士周/手术室护士周</x:v>
      </x:c>
      <x:c r="C114" s="41" t="str">
        <x:v>表彰手术室及围手术期护士，适合OR nurse/perioperative nurse礼品。</x:v>
      </x:c>
      <x:c r="D114" s="41" t="str">
        <x:v>2026-11-08 ~ 2026-11-14</x:v>
      </x:c>
      <x:c r="E114" s="41" t="str">
        <x:v>每年变动</x:v>
      </x:c>
      <x:c r="F114" s="41" t="str">
        <x:v>OR nurse/perioperative nurse gifts、手术室护士感谢礼</x:v>
      </x:c>
      <x:c r="G114" s="41" t="str">
        <x:v>2026-08-25 ~ 2026-09-09：按职业词筛SKU，核库存、历史动销和礼品适配。</x:v>
      </x:c>
      <x:c r="H114" s="41" t="str">
        <x:v>2026-09-29 ~ 2026-10-09：建/补广告组，补关键词/ASIN，处理低效流量。</x:v>
      </x:c>
      <x:c r="I114" s="41" t="str">
        <x:v>2026-10-25 ~ 2026-11-14：高库存/高花费SKU每日看，其余2-3天看。</x:v>
      </x:c>
      <x:c r="J114" s="41" t="str">
        <x:f>IF(AND(TODAY()&gt;=$L114,TODAY()&lt;=$M114),"节点进行中",IF(AND(TODAY()&gt;=$R114,TODAY()&lt;=$S114),"高频跟进",IF(AND(TODAY()&gt;=$P114,TODAY()&lt;=$Q114),"二次排查",IF(AND(TODAY()&gt;=$N114,TODAY()&lt;=$O114),"一次排查",IF(TODAY()&lt;$N114,"未到排查",IF(TODAY()&lt;$L114,"等待下一窗口","已过"))))))</x:f>
        <x:v>未到排查</x:v>
      </x:c>
      <x:c r="K114" s="41" t="str">
        <x:f>IF($J114="节点进行中","今天正在节点/销售窗口内：看销量、库存承接、广告花费、转化和是否需要控投/清尾。",IF($J114="高频跟进","今天在高频跟进窗口：头部SKU每日看；重点看高库存、高花费、断货风险和ACOS。",IF($J114="二次排查","今天在二次排查窗口：补广告结构、关键词/ASIN、预算和Listing埋词。",IF($J114="一次排查","今天在一次排查窗口：先筛SKU，看历史动销、库存、利润和Listing匹配。",IF($J114="未到排查","暂不处理，等一次排查窗口。",IF($J114="等待下一窗口","暂不在排查窗口；等高频或节点开始，除非有库存/广告异常。","已过：复盘、降投、清尾或沉淀明年节点。"))))))</x:f>
        <x:v>暂不处理，等一次排查窗口。</x:v>
      </x:c>
      <x:c r="L114" s="42" t="n">
        <x:v>46334</x:v>
      </x:c>
      <x:c r="M114" s="42" t="n">
        <x:v>46340</x:v>
      </x:c>
      <x:c r="N114" s="42" t="n">
        <x:v>46259</x:v>
      </x:c>
      <x:c r="O114" s="42" t="n">
        <x:v>46274</x:v>
      </x:c>
      <x:c r="P114" s="42" t="n">
        <x:v>46294</x:v>
      </x:c>
      <x:c r="Q114" s="42" t="n">
        <x:v>46304</x:v>
      </x:c>
      <x:c r="R114" s="42" t="n">
        <x:v>46320</x:v>
      </x:c>
      <x:c r="S114" s="42" t="n">
        <x:v>46340</x:v>
      </x:c>
      <x:c r="T114" s="43" t="n">
        <x:f>$L114-TODAY()</x:f>
        <x:v>185</x:v>
      </x:c>
    </x:row>
    <x:row r="115" ht="42" hidden="0" customHeight="1">
      <x:c r="A115" s="41" t="str">
        <x:v>Veterans Day</x:v>
      </x:c>
      <x:c r="B115" s="41" t="str">
        <x:v>退伍军人节</x:v>
      </x:c>
      <x:c r="C115" s="41" t="str">
        <x:v>美国联邦假日，感谢服役退伍军人，适合veteran、military、patriotic thank you礼品。</x:v>
      </x:c>
      <x:c r="D115" s="41" t="str">
        <x:v>2026-11-11</x:v>
      </x:c>
      <x:c r="E115" s="41" t="str">
        <x:v>固定日期</x:v>
      </x:c>
      <x:c r="F115" s="41" t="str">
        <x:v>patriotic gifts、USA旗帜元素、veteran/military thank you礼品、钥匙扣</x:v>
      </x:c>
      <x:c r="G115" s="41" t="str">
        <x:v>2026-09-12 ~ 2026-09-27：先筛匹配SKU、历史销量、库存和利润空间。</x:v>
      </x:c>
      <x:c r="H115" s="41" t="str">
        <x:v>2026-10-12 ~ 2026-10-21：补关键词/ASIN、Listing埋词和广告预算。</x:v>
      </x:c>
      <x:c r="I115" s="41" t="str">
        <x:v>2026-10-28 ~ 2026-11-13：重点SKU每日看，普通SKU每2-3天看。</x:v>
      </x:c>
      <x:c r="J115" s="41" t="str">
        <x:f>IF(AND(TODAY()&gt;=$L115,TODAY()&lt;=$M115),"节点进行中",IF(AND(TODAY()&gt;=$R115,TODAY()&lt;=$S115),"高频跟进",IF(AND(TODAY()&gt;=$P115,TODAY()&lt;=$Q115),"二次排查",IF(AND(TODAY()&gt;=$N115,TODAY()&lt;=$O115),"一次排查",IF(TODAY()&lt;$N115,"未到排查",IF(TODAY()&lt;$L115,"等待下一窗口","已过"))))))</x:f>
        <x:v>未到排查</x:v>
      </x:c>
      <x:c r="K115" s="41" t="str">
        <x:f>IF($J115="节点进行中","今天正在节点/销售窗口内：看销量、库存承接、广告花费、转化和是否需要控投/清尾。",IF($J115="高频跟进","今天在高频跟进窗口：头部SKU每日看；重点看高库存、高花费、断货风险和ACOS。",IF($J115="二次排查","今天在二次排查窗口：补广告结构、关键词/ASIN、预算和Listing埋词。",IF($J115="一次排查","今天在一次排查窗口：先筛SKU，看历史动销、库存、利润和Listing匹配。",IF($J115="未到排查","暂不处理，等一次排查窗口。",IF($J115="等待下一窗口","暂不在排查窗口；等高频或节点开始，除非有库存/广告异常。","已过：复盘、降投、清尾或沉淀明年节点。"))))))</x:f>
        <x:v>暂不处理，等一次排查窗口。</x:v>
      </x:c>
      <x:c r="L115" s="42" t="n">
        <x:v>46337</x:v>
      </x:c>
      <x:c r="M115" s="42" t="n">
        <x:v>46337</x:v>
      </x:c>
      <x:c r="N115" s="42" t="n">
        <x:v>46277</x:v>
      </x:c>
      <x:c r="O115" s="42" t="n">
        <x:v>46292</x:v>
      </x:c>
      <x:c r="P115" s="42" t="n">
        <x:v>46307</x:v>
      </x:c>
      <x:c r="Q115" s="42" t="n">
        <x:v>46316</x:v>
      </x:c>
      <x:c r="R115" s="42" t="n">
        <x:v>46323</x:v>
      </x:c>
      <x:c r="S115" s="42" t="n">
        <x:v>46339</x:v>
      </x:c>
      <x:c r="T115" s="43" t="n">
        <x:f>$L115-TODAY()</x:f>
        <x:v>188</x:v>
      </x:c>
    </x:row>
    <x:row r="116" ht="42" hidden="0" customHeight="1">
      <x:c r="A116" s="41" t="str">
        <x:v>World Kindness Day</x:v>
      </x:c>
      <x:c r="B116" s="41" t="str">
        <x:v>世界善意日/善良日</x:v>
      </x:c>
      <x:c r="C116" s="41" t="str">
        <x:v>倡导友善与善意行动，适合kindness、encouragement、support礼品。</x:v>
      </x:c>
      <x:c r="D116" s="41" t="str">
        <x:v>2026-11-13</x:v>
      </x:c>
      <x:c r="E116" s="41" t="str">
        <x:v>固定日期</x:v>
      </x:c>
      <x:c r="F116" s="41" t="str">
        <x:v>kindness gifts、pocket hug、affirmation cards、鼓励手链</x:v>
      </x:c>
      <x:c r="G116" s="41" t="str">
        <x:v>2026-09-14 ~ 2026-09-29：先筛匹配SKU、历史销量、库存和利润空间。</x:v>
      </x:c>
      <x:c r="H116" s="41" t="str">
        <x:v>2026-10-14 ~ 2026-10-23：补关键词/ASIN、Listing埋词和广告预算。</x:v>
      </x:c>
      <x:c r="I116" s="41" t="str">
        <x:v>2026-10-30 ~ 2026-11-15：重点SKU每日看，普通SKU每2-3天看。</x:v>
      </x:c>
      <x:c r="J116" s="41" t="str">
        <x:f>IF(AND(TODAY()&gt;=$L116,TODAY()&lt;=$M116),"节点进行中",IF(AND(TODAY()&gt;=$R116,TODAY()&lt;=$S116),"高频跟进",IF(AND(TODAY()&gt;=$P116,TODAY()&lt;=$Q116),"二次排查",IF(AND(TODAY()&gt;=$N116,TODAY()&lt;=$O116),"一次排查",IF(TODAY()&lt;$N116,"未到排查",IF(TODAY()&lt;$L116,"等待下一窗口","已过"))))))</x:f>
        <x:v>未到排查</x:v>
      </x:c>
      <x:c r="K116" s="41" t="str">
        <x:f>IF($J116="节点进行中","今天正在节点/销售窗口内：看销量、库存承接、广告花费、转化和是否需要控投/清尾。",IF($J116="高频跟进","今天在高频跟进窗口：头部SKU每日看；重点看高库存、高花费、断货风险和ACOS。",IF($J116="二次排查","今天在二次排查窗口：补广告结构、关键词/ASIN、预算和Listing埋词。",IF($J116="一次排查","今天在一次排查窗口：先筛SKU，看历史动销、库存、利润和Listing匹配。",IF($J116="未到排查","暂不处理，等一次排查窗口。",IF($J116="等待下一窗口","暂不在排查窗口；等高频或节点开始，除非有库存/广告异常。","已过：复盘、降投、清尾或沉淀明年节点。"))))))</x:f>
        <x:v>暂不处理，等一次排查窗口。</x:v>
      </x:c>
      <x:c r="L116" s="42" t="n">
        <x:v>46339</x:v>
      </x:c>
      <x:c r="M116" s="42" t="n">
        <x:v>46339</x:v>
      </x:c>
      <x:c r="N116" s="42" t="n">
        <x:v>46279</x:v>
      </x:c>
      <x:c r="O116" s="42" t="n">
        <x:v>46294</x:v>
      </x:c>
      <x:c r="P116" s="42" t="n">
        <x:v>46309</x:v>
      </x:c>
      <x:c r="Q116" s="42" t="n">
        <x:v>46318</x:v>
      </x:c>
      <x:c r="R116" s="42" t="n">
        <x:v>46325</x:v>
      </x:c>
      <x:c r="S116" s="42" t="n">
        <x:v>46341</x:v>
      </x:c>
      <x:c r="T116" s="43" t="n">
        <x:f>$L116-TODAY()</x:f>
        <x:v>190</x:v>
      </x:c>
    </x:row>
    <x:row r="117" ht="42" hidden="0" customHeight="1">
      <x:c r="A117" s="41" t="str">
        <x:v>World Kindness Week</x:v>
      </x:c>
      <x:c r="B117" s="41" t="str">
        <x:v>世界善意周</x:v>
      </x:c>
      <x:c r="C117" s="41" t="str">
        <x:v>围绕善意日开展的友善行动周，适合kindness gifts和positive message产品。</x:v>
      </x:c>
      <x:c r="D117" s="41" t="str">
        <x:v>2026-11-09 ~ 2026-11-15</x:v>
      </x:c>
      <x:c r="E117" s="41" t="str">
        <x:v>每年变动：围绕11月13日取窗口</x:v>
      </x:c>
      <x:c r="F117" s="41" t="str">
        <x:v>kindness gifts、pocket hug、affirmation cards、鼓励手链</x:v>
      </x:c>
      <x:c r="G117" s="41" t="str">
        <x:v>2026-08-26 ~ 2026-09-10：按职业词筛SKU，核库存、历史动销和礼品适配。</x:v>
      </x:c>
      <x:c r="H117" s="41" t="str">
        <x:v>2026-09-30 ~ 2026-10-10：建/补广告组，补关键词/ASIN，处理低效流量。</x:v>
      </x:c>
      <x:c r="I117" s="41" t="str">
        <x:v>2026-10-26 ~ 2026-11-15：高库存/高花费SKU每日看，其余2-3天看。</x:v>
      </x:c>
      <x:c r="J117" s="41" t="str">
        <x:f>IF(AND(TODAY()&gt;=$L117,TODAY()&lt;=$M117),"节点进行中",IF(AND(TODAY()&gt;=$R117,TODAY()&lt;=$S117),"高频跟进",IF(AND(TODAY()&gt;=$P117,TODAY()&lt;=$Q117),"二次排查",IF(AND(TODAY()&gt;=$N117,TODAY()&lt;=$O117),"一次排查",IF(TODAY()&lt;$N117,"未到排查",IF(TODAY()&lt;$L117,"等待下一窗口","已过"))))))</x:f>
        <x:v>未到排查</x:v>
      </x:c>
      <x:c r="K117" s="41" t="str">
        <x:f>IF($J117="节点进行中","今天正在节点/销售窗口内：看销量、库存承接、广告花费、转化和是否需要控投/清尾。",IF($J117="高频跟进","今天在高频跟进窗口：头部SKU每日看；重点看高库存、高花费、断货风险和ACOS。",IF($J117="二次排查","今天在二次排查窗口：补广告结构、关键词/ASIN、预算和Listing埋词。",IF($J117="一次排查","今天在一次排查窗口：先筛SKU，看历史动销、库存、利润和Listing匹配。",IF($J117="未到排查","暂不处理，等一次排查窗口。",IF($J117="等待下一窗口","暂不在排查窗口；等高频或节点开始，除非有库存/广告异常。","已过：复盘、降投、清尾或沉淀明年节点。"))))))</x:f>
        <x:v>暂不处理，等一次排查窗口。</x:v>
      </x:c>
      <x:c r="L117" s="42" t="n">
        <x:v>46335</x:v>
      </x:c>
      <x:c r="M117" s="42" t="n">
        <x:v>46341</x:v>
      </x:c>
      <x:c r="N117" s="42" t="n">
        <x:v>46260</x:v>
      </x:c>
      <x:c r="O117" s="42" t="n">
        <x:v>46275</x:v>
      </x:c>
      <x:c r="P117" s="42" t="n">
        <x:v>46295</x:v>
      </x:c>
      <x:c r="Q117" s="42" t="n">
        <x:v>46305</x:v>
      </x:c>
      <x:c r="R117" s="42" t="n">
        <x:v>46321</x:v>
      </x:c>
      <x:c r="S117" s="42" t="n">
        <x:v>46341</x:v>
      </x:c>
      <x:c r="T117" s="43" t="n">
        <x:f>$L117-TODAY()</x:f>
        <x:v>186</x:v>
      </x:c>
    </x:row>
    <x:row r="118" ht="42" hidden="0" customHeight="1">
      <x:c r="A118" s="41" t="str">
        <x:v>National Bible Week</x:v>
      </x:c>
      <x:c r="B118" s="41" t="str">
        <x:v>全国圣经周</x:v>
      </x:c>
      <x:c r="C118" s="41" t="str">
        <x:v>基督教阅读与圣经主题周，适合Bible verse、Christian gifts。</x:v>
      </x:c>
      <x:c r="D118" s="41" t="str">
        <x:v>2026-11-15 ~ 2026-11-21</x:v>
      </x:c>
      <x:c r="E118" s="41" t="str">
        <x:v>每年变动</x:v>
      </x:c>
      <x:c r="F118" s="41" t="str">
        <x:v>Christian gifts、Bible verse书签/卡片、教会活动礼、pocket hug</x:v>
      </x:c>
      <x:c r="G118" s="41" t="str">
        <x:v>2026-09-01 ~ 2026-09-16：按职业词筛SKU，核库存、历史动销和礼品适配。</x:v>
      </x:c>
      <x:c r="H118" s="41" t="str">
        <x:v>2026-10-06 ~ 2026-10-16：建/补广告组，补关键词/ASIN，处理低效流量。</x:v>
      </x:c>
      <x:c r="I118" s="41" t="str">
        <x:v>2026-11-01 ~ 2026-11-21：高库存/高花费SKU每日看，其余2-3天看。</x:v>
      </x:c>
      <x:c r="J118" s="41" t="str">
        <x:f>IF(AND(TODAY()&gt;=$L118,TODAY()&lt;=$M118),"节点进行中",IF(AND(TODAY()&gt;=$R118,TODAY()&lt;=$S118),"高频跟进",IF(AND(TODAY()&gt;=$P118,TODAY()&lt;=$Q118),"二次排查",IF(AND(TODAY()&gt;=$N118,TODAY()&lt;=$O118),"一次排查",IF(TODAY()&lt;$N118,"未到排查",IF(TODAY()&lt;$L118,"等待下一窗口","已过"))))))</x:f>
        <x:v>未到排查</x:v>
      </x:c>
      <x:c r="K118" s="41" t="str">
        <x:f>IF($J118="节点进行中","今天正在节点/销售窗口内：看销量、库存承接、广告花费、转化和是否需要控投/清尾。",IF($J118="高频跟进","今天在高频跟进窗口：头部SKU每日看；重点看高库存、高花费、断货风险和ACOS。",IF($J118="二次排查","今天在二次排查窗口：补广告结构、关键词/ASIN、预算和Listing埋词。",IF($J118="一次排查","今天在一次排查窗口：先筛SKU，看历史动销、库存、利润和Listing匹配。",IF($J118="未到排查","暂不处理，等一次排查窗口。",IF($J118="等待下一窗口","暂不在排查窗口；等高频或节点开始，除非有库存/广告异常。","已过：复盘、降投、清尾或沉淀明年节点。"))))))</x:f>
        <x:v>暂不处理，等一次排查窗口。</x:v>
      </x:c>
      <x:c r="L118" s="42" t="n">
        <x:v>46341</x:v>
      </x:c>
      <x:c r="M118" s="42" t="n">
        <x:v>46347</x:v>
      </x:c>
      <x:c r="N118" s="42" t="n">
        <x:v>46266</x:v>
      </x:c>
      <x:c r="O118" s="42" t="n">
        <x:v>46281</x:v>
      </x:c>
      <x:c r="P118" s="42" t="n">
        <x:v>46301</x:v>
      </x:c>
      <x:c r="Q118" s="42" t="n">
        <x:v>46311</x:v>
      </x:c>
      <x:c r="R118" s="42" t="n">
        <x:v>46327</x:v>
      </x:c>
      <x:c r="S118" s="42" t="n">
        <x:v>46347</x:v>
      </x:c>
      <x:c r="T118" s="43" t="n">
        <x:f>$L118-TODAY()</x:f>
        <x:v>192</x:v>
      </x:c>
    </x:row>
    <x:row r="119" ht="42" hidden="0" customHeight="1">
      <x:c r="A119" s="41" t="str">
        <x:v>International Education Week</x:v>
      </x:c>
      <x:c r="B119" s="41" t="str">
        <x:v>国际教育周</x:v>
      </x:c>
      <x:c r="C119" s="41" t="str">
        <x:v>美国国务院/教育部倡导的国际交流与全球教育节点，适合校园/教育相关主题。</x:v>
      </x:c>
      <x:c r="D119" s="41" t="str">
        <x:v>2026-11-16 ~ 2026-11-20</x:v>
      </x:c>
      <x:c r="E119" s="41" t="str">
        <x:v>每年变动</x:v>
      </x:c>
      <x:c r="F119" s="41" t="str">
        <x:v>教育主题礼品、teacher/student gifts、国际交流小礼品</x:v>
      </x:c>
      <x:c r="G119" s="41" t="str">
        <x:v>2026-09-02 ~ 2026-09-17：按职业词筛SKU，核库存、历史动销和礼品适配。</x:v>
      </x:c>
      <x:c r="H119" s="41" t="str">
        <x:v>2026-10-07 ~ 2026-10-17：建/补广告组，补关键词/ASIN，处理低效流量。</x:v>
      </x:c>
      <x:c r="I119" s="41" t="str">
        <x:v>2026-11-02 ~ 2026-11-20：高库存/高花费SKU每日看，其余2-3天看。</x:v>
      </x:c>
      <x:c r="J119" s="41" t="str">
        <x:f>IF(AND(TODAY()&gt;=$L119,TODAY()&lt;=$M119),"节点进行中",IF(AND(TODAY()&gt;=$R119,TODAY()&lt;=$S119),"高频跟进",IF(AND(TODAY()&gt;=$P119,TODAY()&lt;=$Q119),"二次排查",IF(AND(TODAY()&gt;=$N119,TODAY()&lt;=$O119),"一次排查",IF(TODAY()&lt;$N119,"未到排查",IF(TODAY()&lt;$L119,"等待下一窗口","已过"))))))</x:f>
        <x:v>未到排查</x:v>
      </x:c>
      <x:c r="K119" s="41" t="str">
        <x:f>IF($J119="节点进行中","今天正在节点/销售窗口内：看销量、库存承接、广告花费、转化和是否需要控投/清尾。",IF($J119="高频跟进","今天在高频跟进窗口：头部SKU每日看；重点看高库存、高花费、断货风险和ACOS。",IF($J119="二次排查","今天在二次排查窗口：补广告结构、关键词/ASIN、预算和Listing埋词。",IF($J119="一次排查","今天在一次排查窗口：先筛SKU，看历史动销、库存、利润和Listing匹配。",IF($J119="未到排查","暂不处理，等一次排查窗口。",IF($J119="等待下一窗口","暂不在排查窗口；等高频或节点开始，除非有库存/广告异常。","已过：复盘、降投、清尾或沉淀明年节点。"))))))</x:f>
        <x:v>暂不处理，等一次排查窗口。</x:v>
      </x:c>
      <x:c r="L119" s="42" t="n">
        <x:v>46342</x:v>
      </x:c>
      <x:c r="M119" s="42" t="n">
        <x:v>46346</x:v>
      </x:c>
      <x:c r="N119" s="42" t="n">
        <x:v>46267</x:v>
      </x:c>
      <x:c r="O119" s="42" t="n">
        <x:v>46282</x:v>
      </x:c>
      <x:c r="P119" s="42" t="n">
        <x:v>46302</x:v>
      </x:c>
      <x:c r="Q119" s="42" t="n">
        <x:v>46312</x:v>
      </x:c>
      <x:c r="R119" s="42" t="n">
        <x:v>46328</x:v>
      </x:c>
      <x:c r="S119" s="42" t="n">
        <x:v>46346</x:v>
      </x:c>
      <x:c r="T119" s="43" t="n">
        <x:f>$L119-TODAY()</x:f>
        <x:v>193</x:v>
      </x:c>
    </x:row>
    <x:row r="120" ht="42" hidden="0" customHeight="1">
      <x:c r="A120" s="41" t="str">
        <x:v>Operation Christmas Child</x:v>
      </x:c>
      <x:c r="B120" s="41" t="str">
        <x:v>圣诞鞋盒公益活动</x:v>
      </x:c>
      <x:c r="C120" s="41" t="str">
        <x:v>教会/公益鞋盒礼物收集活动，适合小礼品、宗教祝福、儿童礼物组合。</x:v>
      </x:c>
      <x:c r="D120" s="41" t="str">
        <x:v>2026-10-01 ~ 2026-11-23</x:v>
      </x:c>
      <x:c r="E120" s="41" t="str">
        <x:v>每年变动：按准备期+收集周取销售窗口</x:v>
      </x:c>
      <x:c r="F120" s="41" t="str">
        <x:v>鞋盒小礼品、Christian小礼物、祝福卡、轻小件组合</x:v>
      </x:c>
      <x:c r="G120" s="41" t="str">
        <x:v>2026-07-03 ~ 2026-07-17：看历史动销起点、库存承接、Listing是否匹配。</x:v>
      </x:c>
      <x:c r="H120" s="41" t="str">
        <x:v>2026-08-17 ~ 2026-08-31：完成关键词/ASIN/主图标题检查，低预算轻测。</x:v>
      </x:c>
      <x:c r="I120" s="41" t="str">
        <x:v>2026-09-17 ~ 2026-10-27：头部SKU每日看，普通SKU每周2次。</x:v>
      </x:c>
      <x:c r="J120" s="41" t="str">
        <x:f>IF(AND(TODAY()&gt;=$L120,TODAY()&lt;=$M120),"节点进行中",IF(AND(TODAY()&gt;=$R120,TODAY()&lt;=$S120),"高频跟进",IF(AND(TODAY()&gt;=$P120,TODAY()&lt;=$Q120),"二次排查",IF(AND(TODAY()&gt;=$N120,TODAY()&lt;=$O120),"一次排查",IF(TODAY()&lt;$N120,"未到排查",IF(TODAY()&lt;$L120,"等待下一窗口","已过"))))))</x:f>
        <x:v>未到排查</x:v>
      </x:c>
      <x:c r="K120" s="41" t="str">
        <x:f>IF($J120="节点进行中","今天正在节点/销售窗口内：看销量、库存承接、广告花费、转化和是否需要控投/清尾。",IF($J120="高频跟进","今天在高频跟进窗口：头部SKU每日看；重点看高库存、高花费、断货风险和ACOS。",IF($J120="二次排查","今天在二次排查窗口：补广告结构、关键词/ASIN、预算和Listing埋词。",IF($J120="一次排查","今天在一次排查窗口：先筛SKU，看历史动销、库存、利润和Listing匹配。",IF($J120="未到排查","暂不处理，等一次排查窗口。",IF($J120="等待下一窗口","暂不在排查窗口；等高频或节点开始，除非有库存/广告异常。","已过：复盘、降投、清尾或沉淀明年节点。"))))))</x:f>
        <x:v>暂不处理，等一次排查窗口。</x:v>
      </x:c>
      <x:c r="L120" s="42" t="n">
        <x:v>46296</x:v>
      </x:c>
      <x:c r="M120" s="42" t="n">
        <x:v>46349</x:v>
      </x:c>
      <x:c r="N120" s="42" t="n">
        <x:v>46206</x:v>
      </x:c>
      <x:c r="O120" s="42" t="n">
        <x:v>46220</x:v>
      </x:c>
      <x:c r="P120" s="42" t="n">
        <x:v>46251</x:v>
      </x:c>
      <x:c r="Q120" s="42" t="n">
        <x:v>46265</x:v>
      </x:c>
      <x:c r="R120" s="42" t="n">
        <x:v>46282</x:v>
      </x:c>
      <x:c r="S120" s="42" t="n">
        <x:v>46322</x:v>
      </x:c>
      <x:c r="T120" s="43" t="n">
        <x:f>$L120-TODAY()</x:f>
        <x:v>147</x:v>
      </x:c>
    </x:row>
    <x:row r="121" ht="42" hidden="0" customHeight="1">
      <x:c r="A121" s="41" t="str">
        <x:v>Nursing Home Holiday Gifts Season</x:v>
      </x:c>
      <x:c r="B121" s="41" t="str">
        <x:v>养老院节日礼品季</x:v>
      </x:c>
      <x:c r="C121" s="41" t="str">
        <x:v>面向nursing home residents的圣诞/感恩节关怀礼品窗口。</x:v>
      </x:c>
      <x:c r="D121" s="41" t="str">
        <x:v>2026-11-01 ~ 2026-12-31</x:v>
      </x:c>
      <x:c r="E121" s="41" t="str">
        <x:v>区间变动：按机构假日礼品季取常用窗口</x:v>
      </x:c>
      <x:c r="F121" s="41" t="str">
        <x:v>nursing home resident gifts、pocket hug、祝福卡、节日关怀礼包</x:v>
      </x:c>
      <x:c r="G121" s="41" t="str">
        <x:v>2026-08-03 ~ 2026-08-17：看历史动销起点、库存承接、Listing是否匹配。</x:v>
      </x:c>
      <x:c r="H121" s="41" t="str">
        <x:v>2026-09-17 ~ 2026-10-01：完成关键词/ASIN/主图标题检查，低预算轻测。</x:v>
      </x:c>
      <x:c r="I121" s="41" t="str">
        <x:v>2026-10-18 ~ 2026-12-01：头部SKU每日看，普通SKU每周2次。</x:v>
      </x:c>
      <x:c r="J121" s="41" t="str">
        <x:f>IF(AND(TODAY()&gt;=$L121,TODAY()&lt;=$M121),"节点进行中",IF(AND(TODAY()&gt;=$R121,TODAY()&lt;=$S121),"高频跟进",IF(AND(TODAY()&gt;=$P121,TODAY()&lt;=$Q121),"二次排查",IF(AND(TODAY()&gt;=$N121,TODAY()&lt;=$O121),"一次排查",IF(TODAY()&lt;$N121,"未到排查",IF(TODAY()&lt;$L121,"等待下一窗口","已过"))))))</x:f>
        <x:v>未到排查</x:v>
      </x:c>
      <x:c r="K121" s="41" t="str">
        <x:f>IF($J121="节点进行中","今天正在节点/销售窗口内：看销量、库存承接、广告花费、转化和是否需要控投/清尾。",IF($J121="高频跟进","今天在高频跟进窗口：头部SKU每日看；重点看高库存、高花费、断货风险和ACOS。",IF($J121="二次排查","今天在二次排查窗口：补广告结构、关键词/ASIN、预算和Listing埋词。",IF($J121="一次排查","今天在一次排查窗口：先筛SKU，看历史动销、库存、利润和Listing匹配。",IF($J121="未到排查","暂不处理，等一次排查窗口。",IF($J121="等待下一窗口","暂不在排查窗口；等高频或节点开始，除非有库存/广告异常。","已过：复盘、降投、清尾或沉淀明年节点。"))))))</x:f>
        <x:v>暂不处理，等一次排查窗口。</x:v>
      </x:c>
      <x:c r="L121" s="42" t="n">
        <x:v>46327</x:v>
      </x:c>
      <x:c r="M121" s="42" t="n">
        <x:v>46387</x:v>
      </x:c>
      <x:c r="N121" s="42" t="n">
        <x:v>46237</x:v>
      </x:c>
      <x:c r="O121" s="42" t="n">
        <x:v>46251</x:v>
      </x:c>
      <x:c r="P121" s="42" t="n">
        <x:v>46282</x:v>
      </x:c>
      <x:c r="Q121" s="42" t="n">
        <x:v>46296</x:v>
      </x:c>
      <x:c r="R121" s="42" t="n">
        <x:v>46313</x:v>
      </x:c>
      <x:c r="S121" s="42" t="n">
        <x:v>46357</x:v>
      </x:c>
      <x:c r="T121" s="43" t="n">
        <x:f>$L121-TODAY()</x:f>
        <x:v>178</x:v>
      </x:c>
    </x:row>
    <x:row r="122" ht="42" hidden="0" customHeight="1">
      <x:c r="A122" s="41" t="str">
        <x:v>Thanksgiving</x:v>
      </x:c>
      <x:c r="B122" s="41" t="str">
        <x:v>感恩节</x:v>
      </x:c>
      <x:c r="C122" s="41" t="str">
        <x:v>美国下半年核心家庭团聚节点，适合家居、餐桌、感谢礼与秋季装饰。</x:v>
      </x:c>
      <x:c r="D122" s="41" t="str">
        <x:v>2026-11-26</x:v>
      </x:c>
      <x:c r="E122" s="41" t="str">
        <x:v>每年变动</x:v>
      </x:c>
      <x:c r="F122" s="41" t="str">
        <x:v>thank you gifts、秋季家居/餐桌装饰、family gifts、gratitude cards</x:v>
      </x:c>
      <x:c r="G122" s="41" t="str">
        <x:v>2026-07-29 ~ 2026-08-28：先看历史销量、库存/FBA承接、是否需要改Listing。</x:v>
      </x:c>
      <x:c r="H122" s="41" t="str">
        <x:v>2026-09-27 ~ 2026-10-12：广告结构、关键词/ASIN、标题主图必须基本到位。</x:v>
      </x:c>
      <x:c r="I122" s="41" t="str">
        <x:v>2026-11-05 ~ 2026-11-29：头部SKU每日看，过后及时降投/清尾。</x:v>
      </x:c>
      <x:c r="J122" s="41" t="str">
        <x:f>IF(AND(TODAY()&gt;=$L122,TODAY()&lt;=$M122),"节点进行中",IF(AND(TODAY()&gt;=$R122,TODAY()&lt;=$S122),"高频跟进",IF(AND(TODAY()&gt;=$P122,TODAY()&lt;=$Q122),"二次排查",IF(AND(TODAY()&gt;=$N122,TODAY()&lt;=$O122),"一次排查",IF(TODAY()&lt;$N122,"未到排查",IF(TODAY()&lt;$L122,"等待下一窗口","已过"))))))</x:f>
        <x:v>未到排查</x:v>
      </x:c>
      <x:c r="K122" s="41" t="str">
        <x:f>IF($J122="节点进行中","今天正在节点/销售窗口内：看销量、库存承接、广告花费、转化和是否需要控投/清尾。",IF($J122="高频跟进","今天在高频跟进窗口：头部SKU每日看；重点看高库存、高花费、断货风险和ACOS。",IF($J122="二次排查","今天在二次排查窗口：补广告结构、关键词/ASIN、预算和Listing埋词。",IF($J122="一次排查","今天在一次排查窗口：先筛SKU，看历史动销、库存、利润和Listing匹配。",IF($J122="未到排查","暂不处理，等一次排查窗口。",IF($J122="等待下一窗口","暂不在排查窗口；等高频或节点开始，除非有库存/广告异常。","已过：复盘、降投、清尾或沉淀明年节点。"))))))</x:f>
        <x:v>暂不处理，等一次排查窗口。</x:v>
      </x:c>
      <x:c r="L122" s="42" t="n">
        <x:v>46352</x:v>
      </x:c>
      <x:c r="M122" s="42" t="n">
        <x:v>46352</x:v>
      </x:c>
      <x:c r="N122" s="42" t="n">
        <x:v>46232</x:v>
      </x:c>
      <x:c r="O122" s="42" t="n">
        <x:v>46262</x:v>
      </x:c>
      <x:c r="P122" s="42" t="n">
        <x:v>46292</x:v>
      </x:c>
      <x:c r="Q122" s="42" t="n">
        <x:v>46307</x:v>
      </x:c>
      <x:c r="R122" s="42" t="n">
        <x:v>46331</x:v>
      </x:c>
      <x:c r="S122" s="42" t="n">
        <x:v>46355</x:v>
      </x:c>
      <x:c r="T122" s="43" t="n">
        <x:f>$L122-TODAY()</x:f>
        <x:v>203</x:v>
      </x:c>
    </x:row>
    <x:row r="123" ht="42" hidden="0" customHeight="1">
      <x:c r="A123" s="41" t="str">
        <x:v>Black Friday / Cyber Monday</x:v>
      </x:c>
      <x:c r="B123" s="41" t="str">
        <x:v>黑五/网一</x:v>
      </x:c>
      <x:c r="C123" s="41" t="str">
        <x:v>美国电商最大促销窗口，适合几乎所有品类做价格与广告节奏规划。</x:v>
      </x:c>
      <x:c r="D123" s="41" t="str">
        <x:v>2026-11-27 ~ 2026-11-30</x:v>
      </x:c>
      <x:c r="E123" s="41" t="str">
        <x:v>每年变动</x:v>
      </x:c>
      <x:c r="F123" s="41" t="str">
        <x:v>全品类促销节点：重点看库存、价格、广告预算、清货/放量款</x:v>
      </x:c>
      <x:c r="G123" s="41" t="str">
        <x:v>2026-09-28 ~ 2026-10-13：盘库存、价格、毛利、滞销/可放量SKU。</x:v>
      </x:c>
      <x:c r="H123" s="41" t="str">
        <x:v>2026-11-06 ~ 2026-11-13：定折扣、预算上限、主推/清货名单。</x:v>
      </x:c>
      <x:c r="I123" s="41" t="str">
        <x:v>2026-11-20 ~ 2026-12-02：每日看利润、广告占比、断货和清货效果。</x:v>
      </x:c>
      <x:c r="J123" s="41" t="str">
        <x:f>IF(AND(TODAY()&gt;=$L123,TODAY()&lt;=$M123),"节点进行中",IF(AND(TODAY()&gt;=$R123,TODAY()&lt;=$S123),"高频跟进",IF(AND(TODAY()&gt;=$P123,TODAY()&lt;=$Q123),"二次排查",IF(AND(TODAY()&gt;=$N123,TODAY()&lt;=$O123),"一次排查",IF(TODAY()&lt;$N123,"未到排查",IF(TODAY()&lt;$L123,"等待下一窗口","已过"))))))</x:f>
        <x:v>未到排查</x:v>
      </x:c>
      <x:c r="K123" s="41" t="str">
        <x:f>IF($J123="节点进行中","今天正在节点/销售窗口内：看销量、库存承接、广告花费、转化和是否需要控投/清尾。",IF($J123="高频跟进","今天在高频跟进窗口：头部SKU每日看；重点看高库存、高花费、断货风险和ACOS。",IF($J123="二次排查","今天在二次排查窗口：补广告结构、关键词/ASIN、预算和Listing埋词。",IF($J123="一次排查","今天在一次排查窗口：先筛SKU，看历史动销、库存、利润和Listing匹配。",IF($J123="未到排查","暂不处理，等一次排查窗口。",IF($J123="等待下一窗口","暂不在排查窗口；等高频或节点开始，除非有库存/广告异常。","已过：复盘、降投、清尾或沉淀明年节点。"))))))</x:f>
        <x:v>暂不处理，等一次排查窗口。</x:v>
      </x:c>
      <x:c r="L123" s="42" t="n">
        <x:v>46353</x:v>
      </x:c>
      <x:c r="M123" s="42" t="n">
        <x:v>46356</x:v>
      </x:c>
      <x:c r="N123" s="42" t="n">
        <x:v>46293</x:v>
      </x:c>
      <x:c r="O123" s="42" t="n">
        <x:v>46308</x:v>
      </x:c>
      <x:c r="P123" s="42" t="n">
        <x:v>46332</x:v>
      </x:c>
      <x:c r="Q123" s="42" t="n">
        <x:v>46339</x:v>
      </x:c>
      <x:c r="R123" s="42" t="n">
        <x:v>46346</x:v>
      </x:c>
      <x:c r="S123" s="42" t="n">
        <x:v>46358</x:v>
      </x:c>
      <x:c r="T123" s="43" t="n">
        <x:f>$L123-TODAY()</x:f>
        <x:v>204</x:v>
      </x:c>
    </x:row>
    <x:row r="124" ht="42" hidden="0" customHeight="1">
      <x:c r="A124" s="41" t="str">
        <x:v>Giving Tuesday</x:v>
      </x:c>
      <x:c r="B124" s="41" t="str">
        <x:v>公益星期二</x:v>
      </x:c>
      <x:c r="C124" s="41" t="str">
        <x:v>感恩节后鼓励捐赠、志愿服务与善意行动的全球公益节点，适合church、charity、kindness主题。</x:v>
      </x:c>
      <x:c r="D124" s="41" t="str">
        <x:v>2026-12-01</x:v>
      </x:c>
      <x:c r="E124" s="41" t="str">
        <x:v>每年变动</x:v>
      </x:c>
      <x:c r="F124" s="41" t="str">
        <x:v>charity/church/kindness主题礼品、thank you cards、公益感谢小礼</x:v>
      </x:c>
      <x:c r="G124" s="41" t="str">
        <x:v>2026-10-02 ~ 2026-10-17：先筛匹配SKU、历史销量、库存和利润空间。</x:v>
      </x:c>
      <x:c r="H124" s="41" t="str">
        <x:v>2026-11-01 ~ 2026-11-10：补关键词/ASIN、Listing埋词和广告预算。</x:v>
      </x:c>
      <x:c r="I124" s="41" t="str">
        <x:v>2026-11-17 ~ 2026-12-03：重点SKU每日看，普通SKU每2-3天看。</x:v>
      </x:c>
      <x:c r="J124" s="41" t="str">
        <x:f>IF(AND(TODAY()&gt;=$L124,TODAY()&lt;=$M124),"节点进行中",IF(AND(TODAY()&gt;=$R124,TODAY()&lt;=$S124),"高频跟进",IF(AND(TODAY()&gt;=$P124,TODAY()&lt;=$Q124),"二次排查",IF(AND(TODAY()&gt;=$N124,TODAY()&lt;=$O124),"一次排查",IF(TODAY()&lt;$N124,"未到排查",IF(TODAY()&lt;$L124,"等待下一窗口","已过"))))))</x:f>
        <x:v>未到排查</x:v>
      </x:c>
      <x:c r="K124" s="41" t="str">
        <x:f>IF($J124="节点进行中","今天正在节点/销售窗口内：看销量、库存承接、广告花费、转化和是否需要控投/清尾。",IF($J124="高频跟进","今天在高频跟进窗口：头部SKU每日看；重点看高库存、高花费、断货风险和ACOS。",IF($J124="二次排查","今天在二次排查窗口：补广告结构、关键词/ASIN、预算和Listing埋词。",IF($J124="一次排查","今天在一次排查窗口：先筛SKU，看历史动销、库存、利润和Listing匹配。",IF($J124="未到排查","暂不处理，等一次排查窗口。",IF($J124="等待下一窗口","暂不在排查窗口；等高频或节点开始，除非有库存/广告异常。","已过：复盘、降投、清尾或沉淀明年节点。"))))))</x:f>
        <x:v>暂不处理，等一次排查窗口。</x:v>
      </x:c>
      <x:c r="L124" s="42" t="n">
        <x:v>46357</x:v>
      </x:c>
      <x:c r="M124" s="42" t="n">
        <x:v>46357</x:v>
      </x:c>
      <x:c r="N124" s="42" t="n">
        <x:v>46297</x:v>
      </x:c>
      <x:c r="O124" s="42" t="n">
        <x:v>46312</x:v>
      </x:c>
      <x:c r="P124" s="42" t="n">
        <x:v>46327</x:v>
      </x:c>
      <x:c r="Q124" s="42" t="n">
        <x:v>46336</x:v>
      </x:c>
      <x:c r="R124" s="42" t="n">
        <x:v>46343</x:v>
      </x:c>
      <x:c r="S124" s="42" t="n">
        <x:v>46359</x:v>
      </x:c>
      <x:c r="T124" s="43" t="n">
        <x:f>$L124-TODAY()</x:f>
        <x:v>208</x:v>
      </x:c>
    </x:row>
    <x:row r="125" ht="42" hidden="0" customHeight="1">
      <x:c r="A125" s="41" t="str">
        <x:v>Diwali / Deepavali</x:v>
      </x:c>
      <x:c r="B125" s="41" t="str">
        <x:v>排灯节/印度灯节</x:v>
      </x:c>
      <x:c r="C125" s="41" t="str">
        <x:v>印度及南亚重要灯节，适合灯饰、家居装饰、礼品和文化元素产品。</x:v>
      </x:c>
      <x:c r="D125" s="41" t="str">
        <x:v>2026-11-08</x:v>
      </x:c>
      <x:c r="E125" s="41" t="str">
        <x:v>每年变动</x:v>
      </x:c>
      <x:c r="F125" s="41" t="str">
        <x:v>Diwali灯饰、家居装饰、印度文化礼品、祝福卡</x:v>
      </x:c>
      <x:c r="G125" s="41" t="str">
        <x:v>2026-07-11 ~ 2026-08-10：先看历史销量、库存/FBA承接、是否需要改Listing。</x:v>
      </x:c>
      <x:c r="H125" s="41" t="str">
        <x:v>2026-09-09 ~ 2026-09-24：广告结构、关键词/ASIN、标题主图必须基本到位。</x:v>
      </x:c>
      <x:c r="I125" s="41" t="str">
        <x:v>2026-10-18 ~ 2026-11-11：头部SKU每日看，过后及时降投/清尾。</x:v>
      </x:c>
      <x:c r="J125" s="41" t="str">
        <x:f>IF(AND(TODAY()&gt;=$L125,TODAY()&lt;=$M125),"节点进行中",IF(AND(TODAY()&gt;=$R125,TODAY()&lt;=$S125),"高频跟进",IF(AND(TODAY()&gt;=$P125,TODAY()&lt;=$Q125),"二次排查",IF(AND(TODAY()&gt;=$N125,TODAY()&lt;=$O125),"一次排查",IF(TODAY()&lt;$N125,"未到排查",IF(TODAY()&lt;$L125,"等待下一窗口","已过"))))))</x:f>
        <x:v>未到排查</x:v>
      </x:c>
      <x:c r="K125" s="41" t="str">
        <x:f>IF($J125="节点进行中","今天正在节点/销售窗口内：看销量、库存承接、广告花费、转化和是否需要控投/清尾。",IF($J125="高频跟进","今天在高频跟进窗口：头部SKU每日看；重点看高库存、高花费、断货风险和ACOS。",IF($J125="二次排查","今天在二次排查窗口：补广告结构、关键词/ASIN、预算和Listing埋词。",IF($J125="一次排查","今天在一次排查窗口：先筛SKU，看历史动销、库存、利润和Listing匹配。",IF($J125="未到排查","暂不处理，等一次排查窗口。",IF($J125="等待下一窗口","暂不在排查窗口；等高频或节点开始，除非有库存/广告异常。","已过：复盘、降投、清尾或沉淀明年节点。"))))))</x:f>
        <x:v>暂不处理，等一次排查窗口。</x:v>
      </x:c>
      <x:c r="L125" s="42" t="n">
        <x:v>46334</x:v>
      </x:c>
      <x:c r="M125" s="42" t="n">
        <x:v>46334</x:v>
      </x:c>
      <x:c r="N125" s="42" t="n">
        <x:v>46214</x:v>
      </x:c>
      <x:c r="O125" s="42" t="n">
        <x:v>46244</x:v>
      </x:c>
      <x:c r="P125" s="42" t="n">
        <x:v>46274</x:v>
      </x:c>
      <x:c r="Q125" s="42" t="n">
        <x:v>46289</x:v>
      </x:c>
      <x:c r="R125" s="42" t="n">
        <x:v>46313</x:v>
      </x:c>
      <x:c r="S125" s="42" t="n">
        <x:v>46337</x:v>
      </x:c>
      <x:c r="T125" s="43" t="n">
        <x:f>$L125-TODAY()</x:f>
        <x:v>185</x:v>
      </x:c>
    </x:row>
    <x:row r="126" ht="42" hidden="0" customHeight="1">
      <x:c r="A126" s="41" t="str">
        <x:v>Christmas</x:v>
      </x:c>
      <x:c r="B126" s="41" t="str">
        <x:v>圣诞节</x:v>
      </x:c>
      <x:c r="C126" s="41" t="str">
        <x:v>全年最大礼品与装饰节点之一，适合礼品、宗教、家居、装饰、stocking stuffer。</x:v>
      </x:c>
      <x:c r="D126" s="41" t="str">
        <x:v>2026-10-01 ~ 2026-12-25</x:v>
      </x:c>
      <x:c r="E126" s="41" t="str">
        <x:v>固定日期+销售窗口：以10月上旬预热到圣诞节为运营窗口</x:v>
      </x:c>
      <x:c r="F126" s="41" t="str">
        <x:v>Christmas gifts、ornaments、stocking stuffers、Christian Christmas gifts</x:v>
      </x:c>
      <x:c r="G126" s="41" t="str">
        <x:v>2026-06-03 ~ 2026-07-03：先看历史销量、库存/FBA承接、是否需要改Listing。</x:v>
      </x:c>
      <x:c r="H126" s="41" t="str">
        <x:v>2026-08-02 ~ 2026-08-17：广告结构、关键词/ASIN、标题主图必须基本到位。</x:v>
      </x:c>
      <x:c r="I126" s="41" t="str">
        <x:v>2026-09-10 ~ 2026-12-28：头部SKU每日看，过后及时降投/清尾。</x:v>
      </x:c>
      <x:c r="J126" s="41" t="str">
        <x:f>IF(AND(TODAY()&gt;=$L126,TODAY()&lt;=$M126),"节点进行中",IF(AND(TODAY()&gt;=$R126,TODAY()&lt;=$S126),"高频跟进",IF(AND(TODAY()&gt;=$P126,TODAY()&lt;=$Q126),"二次排查",IF(AND(TODAY()&gt;=$N126,TODAY()&lt;=$O126),"一次排查",IF(TODAY()&lt;$N126,"未到排查",IF(TODAY()&lt;$L126,"等待下一窗口","已过"))))))</x:f>
        <x:v>未到排查</x:v>
      </x:c>
      <x:c r="K126" s="41" t="str">
        <x:f>IF($J126="节点进行中","今天正在节点/销售窗口内：看销量、库存承接、广告花费、转化和是否需要控投/清尾。",IF($J126="高频跟进","今天在高频跟进窗口：头部SKU每日看；重点看高库存、高花费、断货风险和ACOS。",IF($J126="二次排查","今天在二次排查窗口：补广告结构、关键词/ASIN、预算和Listing埋词。",IF($J126="一次排查","今天在一次排查窗口：先筛SKU，看历史动销、库存、利润和Listing匹配。",IF($J126="未到排查","暂不处理，等一次排查窗口。",IF($J126="等待下一窗口","暂不在排查窗口；等高频或节点开始，除非有库存/广告异常。","已过：复盘、降投、清尾或沉淀明年节点。"))))))</x:f>
        <x:v>暂不处理，等一次排查窗口。</x:v>
      </x:c>
      <x:c r="L126" s="42" t="n">
        <x:v>46296</x:v>
      </x:c>
      <x:c r="M126" s="42" t="n">
        <x:v>46381</x:v>
      </x:c>
      <x:c r="N126" s="42" t="n">
        <x:v>46176</x:v>
      </x:c>
      <x:c r="O126" s="42" t="n">
        <x:v>46206</x:v>
      </x:c>
      <x:c r="P126" s="42" t="n">
        <x:v>46236</x:v>
      </x:c>
      <x:c r="Q126" s="42" t="n">
        <x:v>46251</x:v>
      </x:c>
      <x:c r="R126" s="42" t="n">
        <x:v>46275</x:v>
      </x:c>
      <x:c r="S126" s="42" t="n">
        <x:v>46384</x:v>
      </x:c>
      <x:c r="T126" s="43" t="n">
        <x:f>$L126-TODAY()</x:f>
        <x:v>147</x:v>
      </x:c>
    </x:row>
    <x:row r="127" ht="42" hidden="0" customHeight="1">
      <x:c r="A127" s="41" t="str">
        <x:v>Hanukkah / Chanukah</x:v>
      </x:c>
      <x:c r="B127" s="41" t="str">
        <x:v>光明节/哈努卡</x:v>
      </x:c>
      <x:c r="C127" s="41" t="str">
        <x:v>犹太八日光明节，适合犹太文化礼品、menorah、蓝白银装饰。</x:v>
      </x:c>
      <x:c r="D127" s="41" t="str">
        <x:v>2026-12-04 ~ 2026-12-12</x:v>
      </x:c>
      <x:c r="E127" s="41" t="str">
        <x:v>每年变动</x:v>
      </x:c>
      <x:c r="F127" s="41" t="str">
        <x:v>Hanukkah gifts、蓝白银装饰、menorah主题小礼品</x:v>
      </x:c>
      <x:c r="G127" s="41" t="str">
        <x:v>2026-08-06 ~ 2026-09-05：先看历史销量、库存/FBA承接、是否需要改Listing。</x:v>
      </x:c>
      <x:c r="H127" s="41" t="str">
        <x:v>2026-10-05 ~ 2026-10-20：广告结构、关键词/ASIN、标题主图必须基本到位。</x:v>
      </x:c>
      <x:c r="I127" s="41" t="str">
        <x:v>2026-11-13 ~ 2026-12-15：头部SKU每日看，过后及时降投/清尾。</x:v>
      </x:c>
      <x:c r="J127" s="41" t="str">
        <x:f>IF(AND(TODAY()&gt;=$L127,TODAY()&lt;=$M127),"节点进行中",IF(AND(TODAY()&gt;=$R127,TODAY()&lt;=$S127),"高频跟进",IF(AND(TODAY()&gt;=$P127,TODAY()&lt;=$Q127),"二次排查",IF(AND(TODAY()&gt;=$N127,TODAY()&lt;=$O127),"一次排查",IF(TODAY()&lt;$N127,"未到排查",IF(TODAY()&lt;$L127,"等待下一窗口","已过"))))))</x:f>
        <x:v>未到排查</x:v>
      </x:c>
      <x:c r="K127" s="41" t="str">
        <x:f>IF($J127="节点进行中","今天正在节点/销售窗口内：看销量、库存承接、广告花费、转化和是否需要控投/清尾。",IF($J127="高频跟进","今天在高频跟进窗口：头部SKU每日看；重点看高库存、高花费、断货风险和ACOS。",IF($J127="二次排查","今天在二次排查窗口：补广告结构、关键词/ASIN、预算和Listing埋词。",IF($J127="一次排查","今天在一次排查窗口：先筛SKU，看历史动销、库存、利润和Listing匹配。",IF($J127="未到排查","暂不处理，等一次排查窗口。",IF($J127="等待下一窗口","暂不在排查窗口；等高频或节点开始，除非有库存/广告异常。","已过：复盘、降投、清尾或沉淀明年节点。"))))))</x:f>
        <x:v>暂不处理，等一次排查窗口。</x:v>
      </x:c>
      <x:c r="L127" s="42" t="n">
        <x:v>46360</x:v>
      </x:c>
      <x:c r="M127" s="42" t="n">
        <x:v>46368</x:v>
      </x:c>
      <x:c r="N127" s="42" t="n">
        <x:v>46240</x:v>
      </x:c>
      <x:c r="O127" s="42" t="n">
        <x:v>46270</x:v>
      </x:c>
      <x:c r="P127" s="42" t="n">
        <x:v>46300</x:v>
      </x:c>
      <x:c r="Q127" s="42" t="n">
        <x:v>46315</x:v>
      </x:c>
      <x:c r="R127" s="42" t="n">
        <x:v>46339</x:v>
      </x:c>
      <x:c r="S127" s="42" t="n">
        <x:v>46371</x:v>
      </x:c>
      <x:c r="T127" s="43" t="n">
        <x:f>$L127-TODAY()</x:f>
        <x:v>211</x:v>
      </x:c>
    </x:row>
    <x:row r="128" ht="42" hidden="0" customHeight="1">
      <x:c r="A128" s="41" t="str">
        <x:v>Winter Products Season</x:v>
      </x:c>
      <x:c r="B128" s="41" t="str">
        <x:v>冬季产品季</x:v>
      </x:c>
      <x:c r="C128" s="41" t="str">
        <x:v>冬季保暖、家居、节日、室内活动产品的集中需求期。</x:v>
      </x:c>
      <x:c r="D128" s="41" t="str">
        <x:v>2026-10-01 ~ 2027-02-28</x:v>
      </x:c>
      <x:c r="E128" s="41" t="str">
        <x:v>区间变动：跨年冬季品类窗口</x:v>
      </x:c>
      <x:c r="F128" s="41" t="str">
        <x:v>冬季保暖、家居、节日、室内活动、snow/winter主题产品</x:v>
      </x:c>
      <x:c r="G128" s="41" t="str">
        <x:v>2026-07-03 ~ 2026-07-17：看历史动销起点、库存承接、Listing是否匹配。</x:v>
      </x:c>
      <x:c r="H128" s="41" t="str">
        <x:v>2026-08-17 ~ 2026-08-31：完成关键词/ASIN/主图标题检查，低预算轻测。</x:v>
      </x:c>
      <x:c r="I128" s="41" t="str">
        <x:v>2026-09-17 ~ 2026-12-15：头部SKU每日看，普通SKU每周2次。</x:v>
      </x:c>
      <x:c r="J128" s="41" t="str">
        <x:f>IF(AND(TODAY()&gt;=$L128,TODAY()&lt;=$M128),"节点进行中",IF(AND(TODAY()&gt;=$R128,TODAY()&lt;=$S128),"高频跟进",IF(AND(TODAY()&gt;=$P128,TODAY()&lt;=$Q128),"二次排查",IF(AND(TODAY()&gt;=$N128,TODAY()&lt;=$O128),"一次排查",IF(TODAY()&lt;$N128,"未到排查",IF(TODAY()&lt;$L128,"等待下一窗口","已过"))))))</x:f>
        <x:v>未到排查</x:v>
      </x:c>
      <x:c r="K128" s="41" t="str">
        <x:f>IF($J128="节点进行中","今天正在节点/销售窗口内：看销量、库存承接、广告花费、转化和是否需要控投/清尾。",IF($J128="高频跟进","今天在高频跟进窗口：头部SKU每日看；重点看高库存、高花费、断货风险和ACOS。",IF($J128="二次排查","今天在二次排查窗口：补广告结构、关键词/ASIN、预算和Listing埋词。",IF($J128="一次排查","今天在一次排查窗口：先筛SKU，看历史动销、库存、利润和Listing匹配。",IF($J128="未到排查","暂不处理，等一次排查窗口。",IF($J128="等待下一窗口","暂不在排查窗口；等高频或节点开始，除非有库存/广告异常。","已过：复盘、降投、清尾或沉淀明年节点。"))))))</x:f>
        <x:v>暂不处理，等一次排查窗口。</x:v>
      </x:c>
      <x:c r="L128" s="42" t="n">
        <x:v>46296</x:v>
      </x:c>
      <x:c r="M128" s="42" t="n">
        <x:v>46446</x:v>
      </x:c>
      <x:c r="N128" s="42" t="n">
        <x:v>46206</x:v>
      </x:c>
      <x:c r="O128" s="42" t="n">
        <x:v>46220</x:v>
      </x:c>
      <x:c r="P128" s="42" t="n">
        <x:v>46251</x:v>
      </x:c>
      <x:c r="Q128" s="42" t="n">
        <x:v>46265</x:v>
      </x:c>
      <x:c r="R128" s="42" t="n">
        <x:v>46282</x:v>
      </x:c>
      <x:c r="S128" s="42" t="n">
        <x:v>46371</x:v>
      </x:c>
      <x:c r="T128" s="43" t="n">
        <x:f>$L128-TODAY()</x:f>
        <x:v>147</x:v>
      </x:c>
    </x:row>
    <x:row r="129" ht="42" hidden="0" customHeight="1">
      <x:c r="A129" s="41" t="str">
        <x:v>Kwanzaa</x:v>
      </x:c>
      <x:c r="B129" s="41" t="str">
        <x:v>宽扎节</x:v>
      </x:c>
      <x:c r="C129" s="41" t="str">
        <x:v>非裔美国文化节日，强调团结、文化与家庭礼赠。</x:v>
      </x:c>
      <x:c r="D129" s="41" t="str">
        <x:v>2026-12-26</x:v>
      </x:c>
      <x:c r="E129" s="41" t="str">
        <x:v>固定区间</x:v>
      </x:c>
      <x:c r="F129" s="41" t="str">
        <x:v>Kwanzaa文化主题礼品、家庭装饰、祝福卡；商业化需克制</x:v>
      </x:c>
      <x:c r="G129" s="41" t="str">
        <x:v>2026-09-27 ~ 2026-10-12：先确认产品真实匹配，避免硬蹭敏感议题。</x:v>
      </x:c>
      <x:c r="H129" s="41" t="str">
        <x:v>2026-11-11 ~ 2026-11-21：检查图片/文案/关键词是否克制且合规。</x:v>
      </x:c>
      <x:c r="I129" s="41" t="str">
        <x:v>2026-12-12 ~ 2026-12-26：每2-3天看；表现差或表达风险高就停。</x:v>
      </x:c>
      <x:c r="J129" s="41" t="str">
        <x:f>IF(AND(TODAY()&gt;=$L129,TODAY()&lt;=$M129),"节点进行中",IF(AND(TODAY()&gt;=$R129,TODAY()&lt;=$S129),"高频跟进",IF(AND(TODAY()&gt;=$P129,TODAY()&lt;=$Q129),"二次排查",IF(AND(TODAY()&gt;=$N129,TODAY()&lt;=$O129),"一次排查",IF(TODAY()&lt;$N129,"未到排查",IF(TODAY()&lt;$L129,"等待下一窗口","已过"))))))</x:f>
        <x:v>未到排查</x:v>
      </x:c>
      <x:c r="K129" s="41" t="str">
        <x:f>IF($J129="节点进行中","今天正在节点/销售窗口内：看销量、库存承接、广告花费、转化和是否需要控投/清尾。",IF($J129="高频跟进","今天在高频跟进窗口：头部SKU每日看；重点看高库存、高花费、断货风险和ACOS。",IF($J129="二次排查","今天在二次排查窗口：补广告结构、关键词/ASIN、预算和Listing埋词。",IF($J129="一次排查","今天在一次排查窗口：先筛SKU，看历史动销、库存、利润和Listing匹配。",IF($J129="未到排查","暂不处理，等一次排查窗口。",IF($J129="等待下一窗口","暂不在排查窗口；等高频或节点开始，除非有库存/广告异常。","已过：复盘、降投、清尾或沉淀明年节点。"))))))</x:f>
        <x:v>暂不处理，等一次排查窗口。</x:v>
      </x:c>
      <x:c r="L129" s="42" t="n">
        <x:v>46382</x:v>
      </x:c>
      <x:c r="M129" s="42" t="n">
        <x:v>46382</x:v>
      </x:c>
      <x:c r="N129" s="42" t="n">
        <x:v>46292</x:v>
      </x:c>
      <x:c r="O129" s="42" t="n">
        <x:v>46307</x:v>
      </x:c>
      <x:c r="P129" s="42" t="n">
        <x:v>46337</x:v>
      </x:c>
      <x:c r="Q129" s="42" t="n">
        <x:v>46347</x:v>
      </x:c>
      <x:c r="R129" s="42" t="n">
        <x:v>46368</x:v>
      </x:c>
      <x:c r="S129" s="42" t="n">
        <x:v>46382</x:v>
      </x:c>
      <x:c r="T129" s="43" t="n">
        <x:f>$L129-TODAY()</x:f>
        <x:v>233</x:v>
      </x:c>
    </x:row>
    <x:row r="130" ht="42" hidden="0" customHeight="1">
      <x:c r="A130" s="41" t="str">
        <x:v>New Year's Eve / New Year Season</x:v>
      </x:c>
      <x:c r="B130" s="41" t="str">
        <x:v>跨年/新年季</x:v>
      </x:c>
      <x:c r="C130" s="41" t="str">
        <x:v>跨年派对、目标计划、祝福礼物与新年装饰窗口。</x:v>
      </x:c>
      <x:c r="D130" s="41" t="str">
        <x:v>2026-12-15 ~ 2027-01-05</x:v>
      </x:c>
      <x:c r="E130" s="41" t="str">
        <x:v>固定日期+区间：跨年销售窗口</x:v>
      </x:c>
      <x:c r="F130" s="41" t="str">
        <x:v>party favors、新年祝福卡、目标计划/affirmation产品、跨年装饰</x:v>
      </x:c>
      <x:c r="G130" s="41" t="str">
        <x:v>2026-09-16 ~ 2026-09-30：看历史动销起点、库存承接、Listing是否匹配。</x:v>
      </x:c>
      <x:c r="H130" s="41" t="str">
        <x:v>2026-10-31 ~ 2026-11-14：完成关键词/ASIN/主图标题检查，低预算轻测。</x:v>
      </x:c>
      <x:c r="I130" s="41" t="str">
        <x:v>2026-12-01 ~ 2026-12-25：头部SKU每日看，普通SKU每周2次。</x:v>
      </x:c>
      <x:c r="J130" s="41" t="str">
        <x:f>IF(AND(TODAY()&gt;=$L130,TODAY()&lt;=$M130),"节点进行中",IF(AND(TODAY()&gt;=$R130,TODAY()&lt;=$S130),"高频跟进",IF(AND(TODAY()&gt;=$P130,TODAY()&lt;=$Q130),"二次排查",IF(AND(TODAY()&gt;=$N130,TODAY()&lt;=$O130),"一次排查",IF(TODAY()&lt;$N130,"未到排查",IF(TODAY()&lt;$L130,"等待下一窗口","已过"))))))</x:f>
        <x:v>未到排查</x:v>
      </x:c>
      <x:c r="K130" s="41" t="str">
        <x:f>IF($J130="节点进行中","今天正在节点/销售窗口内：看销量、库存承接、广告花费、转化和是否需要控投/清尾。",IF($J130="高频跟进","今天在高频跟进窗口：头部SKU每日看；重点看高库存、高花费、断货风险和ACOS。",IF($J130="二次排查","今天在二次排查窗口：补广告结构、关键词/ASIN、预算和Listing埋词。",IF($J130="一次排查","今天在一次排查窗口：先筛SKU，看历史动销、库存、利润和Listing匹配。",IF($J130="未到排查","暂不处理，等一次排查窗口。",IF($J130="等待下一窗口","暂不在排查窗口；等高频或节点开始，除非有库存/广告异常。","已过：复盘、降投、清尾或沉淀明年节点。"))))))</x:f>
        <x:v>暂不处理，等一次排查窗口。</x:v>
      </x:c>
      <x:c r="L130" s="42" t="n">
        <x:v>46371</x:v>
      </x:c>
      <x:c r="M130" s="42" t="n">
        <x:v>46392</x:v>
      </x:c>
      <x:c r="N130" s="42" t="n">
        <x:v>46281</x:v>
      </x:c>
      <x:c r="O130" s="42" t="n">
        <x:v>46295</x:v>
      </x:c>
      <x:c r="P130" s="42" t="n">
        <x:v>46326</x:v>
      </x:c>
      <x:c r="Q130" s="42" t="n">
        <x:v>46340</x:v>
      </x:c>
      <x:c r="R130" s="42" t="n">
        <x:v>46357</x:v>
      </x:c>
      <x:c r="S130" s="42" t="n">
        <x:v>46381</x:v>
      </x:c>
      <x:c r="T130" s="43" t="n">
        <x:f>$L130-TODAY()</x:f>
        <x:v>222</x:v>
      </x:c>
    </x:row>
  </x:sheetData>
  <x:conditionalFormatting sqref="D2:D130">
    <x:cfRule type="expression" dxfId="0" priority="1">
      <x:formula>ISNUMBER(SEARCH("每年变动",D2))</x:formula>
    </x:cfRule>
    <x:cfRule type="expression" dxfId="1" priority="2">
      <x:formula>ISNUMBER(SEARCH("口径需复核",D2))</x:formula>
    </x:cfRule>
    <x:cfRule type="expression" dxfId="2" priority="3">
      <x:formula>ISNUMBER(SEARCH("区间变动",D2))</x:formula>
    </x:cfRule>
  </x:conditionalFormatting>
  <x:conditionalFormatting sqref="A2:T130">
    <x:cfRule type="expression" dxfId="19" priority="4">
      <x:formula>AND(TODAY()&gt;=$N2,TODAY()&lt;=$O2,NOT(AND(TODAY()&gt;=$P2,TODAY()&lt;=$Q2)),NOT(AND(TODAY()&gt;=$R2,TODAY()&lt;=$S2)),NOT(AND(TODAY()&gt;=$L2,TODAY()&lt;=$M2)))</x:formula>
    </x:cfRule>
    <x:cfRule type="expression" dxfId="20" priority="5">
      <x:formula>AND(TODAY()&gt;=$P2,TODAY()&lt;=$Q2,NOT(AND(TODAY()&gt;=$R2,TODAY()&lt;=$S2)),NOT(AND(TODAY()&gt;=$L2,TODAY()&lt;=$M2)))</x:formula>
    </x:cfRule>
    <x:cfRule type="expression" dxfId="21" priority="6">
      <x:formula>AND(TODAY()&gt;=$R2,TODAY()&lt;=$S2,NOT(AND(TODAY()&gt;=$L2,TODAY()&lt;=$M2)))</x:formula>
    </x:cfRule>
    <x:cfRule type="expression" dxfId="22" priority="7">
      <x:formula>AND(TODAY()&gt;=$L2,TODAY()&lt;=$M2)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06969c1d9840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 ht="22" customHeight="1">
      <x:c r="A1" s="6" t="str">
        <x:v>说明</x:v>
      </x:c>
      <x:c r="B1" s="6" t="str">
        <x:v>来源/URL</x:v>
      </x:c>
    </x:row>
    <x:row r="2" ht="32" customHeight="1">
      <x:c r="A2" s="12" t="str">
        <x:v>主表按截图可见节点整理；明显为2024/2025单年日期的，统一改成“可复用规则 + 2026示例日期”。</x:v>
      </x:c>
      <x:c r="B2" s="12" t="str">
        <x:v>用户截图</x:v>
      </x:c>
    </x:row>
    <x:row r="3" ht="32" customHeight="1">
      <x:c r="A3" s="12" t="str">
        <x:v>标注“每年变动”的日期，代表每年具体日历日会变；广告/Listing规划应每年复核。</x:v>
      </x:c>
      <x:c r="B3" s="12" t="str">
        <x:v>本表整理规则</x:v>
      </x:c>
    </x:row>
    <x:row r="4" ht="32" customHeight="1">
      <x:c r="A4" s="12" t="str">
        <x:v>标注“区间变动”的节点，多为季节/开学/活动季，具体时间取决于学校、机构、地区或市场热度。</x:v>
      </x:c>
      <x:c r="B4" s="12" t="str">
        <x:v>本表整理规则</x:v>
      </x:c>
    </x:row>
    <x:row r="5" ht="32" customHeight="1">
      <x:c r="A5" s="12" t="str">
        <x:v>标注“口径需复核”的节点，截图里有记录但公开统一口径较弱，建议结合Amazon搜索量/站内热词二次确认。</x:v>
      </x:c>
      <x:c r="B5" s="12" t="str">
        <x:v>本表整理规则</x:v>
      </x:c>
    </x:row>
    <x:row r="6" ht="32" customHeight="1">
      <x:c r="A6" s="12" t="str">
        <x:v>National School Counseling Week：2026年2月2日-2月6日，且为2月第一个完整周。</x:v>
      </x:c>
      <x:c r="B6" s="12" t="str">
        <x:v>https://www.schoolcounselor.org/Events-Professional-Development/Events/National-School-Counseling-Week</x:v>
      </x:c>
    </x:row>
    <x:row r="7" ht="32" customHeight="1">
      <x:c r="A7" s="12" t="str">
        <x:v>School Social Work Week：2026年3月1日-3月7日，3月第一个完整周。</x:v>
      </x:c>
      <x:c r="B7" s="12" t="str">
        <x:v>https://www.sswaa.org/school-social-work-week</x:v>
      </x:c>
    </x:row>
    <x:row r="8" ht="32" customHeight="1">
      <x:c r="A8" s="12" t="str">
        <x:v>World Social Work Day：2026年3月17日。</x:v>
      </x:c>
      <x:c r="B8" s="12" t="str">
        <x:v>https://www.ifsw.org/social-work-action/world-social-work-day/</x:v>
      </x:c>
    </x:row>
    <x:row r="9" ht="32" customHeight="1">
      <x:c r="A9" s="12" t="str">
        <x:v>Patient Access Week：2026年4月5日-4月11日。</x:v>
      </x:c>
      <x:c r="B9" s="12" t="str">
        <x:v>https://www.naham.org/page/AccessWeek</x:v>
      </x:c>
    </x:row>
    <x:row r="10" ht="32" customHeight="1">
      <x:c r="A10" s="12" t="str">
        <x:v>National Volunteer Week：2026年4月19日-4月25日。</x:v>
      </x:c>
      <x:c r="B10" s="12" t="str">
        <x:v>https://www.pointsoflight.org/national-volunteer-week/</x:v>
      </x:c>
    </x:row>
    <x:row r="11" ht="32" customHeight="1">
      <x:c r="A11" s="12" t="str">
        <x:v>World Veterinary Day：2026年4月25日，4月最后一个星期六。</x:v>
      </x:c>
      <x:c r="B11" s="12" t="str">
        <x:v>https://worldvet.org/activities/world-veterinary-day/</x:v>
      </x:c>
    </x:row>
    <x:row r="12" ht="32" customHeight="1">
      <x:c r="A12" s="12" t="str">
        <x:v>Veterinary Receptionist Week：2026年4月19日-4月25日，4月最后一个完整周。</x:v>
      </x:c>
      <x:c r="B12" s="12" t="str">
        <x:v>https://www.veterinaryreceptionistweek.com/</x:v>
      </x:c>
    </x:row>
    <x:row r="13" ht="32" customHeight="1">
      <x:c r="A13" s="12" t="str">
        <x:v>Administrative Professionals Day：2026年4月22日。</x:v>
      </x:c>
      <x:c r="B13" s="12" t="str">
        <x:v>https://www.timeanddate.com/holidays/us/administrative-professionals-day</x:v>
      </x:c>
    </x:row>
    <x:row r="14" ht="32" customHeight="1">
      <x:c r="A14" s="12" t="str">
        <x:v>National Nurses Week：每年5月6日-5月12日；2026同样为5月6日-5月12日。</x:v>
      </x:c>
      <x:c r="B14" s="12" t="str">
        <x:v>https://pages.nursingworld.org/nursesweek26</x:v>
      </x:c>
    </x:row>
    <x:row r="15" ht="32" customHeight="1">
      <x:c r="A15" s="12" t="str">
        <x:v>CNA Week：2026年6月11日-6月17日。</x:v>
      </x:c>
      <x:c r="B15" s="12" t="str">
        <x:v>https://blog.nahcacna.org/cna-week/</x:v>
      </x:c>
    </x:row>
    <x:row r="16" ht="32" customHeight="1">
      <x:c r="A16" s="12" t="str">
        <x:v>Sterile Processing Week：2026年10月11日-10月17日。</x:v>
      </x:c>
      <x:c r="B16" s="12" t="str">
        <x:v>https://myhspa.org/resources/sterile-processing-week/</x:v>
      </x:c>
    </x:row>
    <x:row r="17" ht="32" customHeight="1">
      <x:c r="A17" s="12" t="str">
        <x:v>Medical Assistants Recognition Week：2026年10月19日-10月23日。</x:v>
      </x:c>
      <x:c r="B17" s="12" t="str">
        <x:v>https://www.aama-ntl.org/education-and-events/medical-assistants-recognition-week</x:v>
      </x:c>
    </x:row>
    <x:row r="18" ht="32" customHeight="1">
      <x:c r="A18" s="12" t="str">
        <x:v>National Pharmacy Week：2026年10月18日-10月24日。</x:v>
      </x:c>
      <x:c r="B18" s="12" t="str">
        <x:v>https://www.ashp.org/pharmacy-practice/resource-centers/public-relations/national-pharmacy-week</x:v>
      </x:c>
    </x:row>
    <x:row r="19" ht="32" customHeight="1">
      <x:c r="A19" s="12" t="str">
        <x:v>Respiratory Care Week：2026年10月25日-10月31日。</x:v>
      </x:c>
      <x:c r="B19" s="12" t="str">
        <x:v>https://www.aarc.org/events-and-programs/respiratory-care-week/</x:v>
      </x:c>
    </x:row>
    <x:row r="20" ht="32" customHeight="1">
      <x:c r="A20" s="12" t="str">
        <x:v>Nurse Practitioner Week：2026年11月8日-11月14日。</x:v>
      </x:c>
      <x:c r="B20" s="12" t="str">
        <x:v>https://www.aanp.org/about/about-the-american-association-of-nurse-practitioners-aanp/media/np-week</x:v>
      </x:c>
    </x:row>
    <x:row r="21" ht="32" customHeight="1">
      <x:c r="A21" s="12" t="str">
        <x:v>Perioperative Nurses Week：2026年11月8日-11月14日。</x:v>
      </x:c>
      <x:c r="B21" s="12" t="str">
        <x:v>https://www.aorn.org/events/perioperative-nurses-week</x:v>
      </x:c>
    </x:row>
    <x:row r="22" ht="32" customHeight="1">
      <x:c r="A22" s="12" t="str">
        <x:v>International Education Week：2026年11月16日-11月20日；由美国教育部/国务院联合倡议。</x:v>
      </x:c>
      <x:c r="B22" s="12" t="str">
        <x:v>https://www.ed.gov/about/initiatives/international-affairs/international-education-week</x:v>
      </x:c>
    </x:row>
    <x:row r="23" ht="32" customHeight="1">
      <x:c r="A23" s="12" t="str">
        <x:v>美国常见节日2026日期参考：Easter、Mother's Day、Father's Day、Thanksgiving等。</x:v>
      </x:c>
      <x:c r="B23" s="12" t="str">
        <x:v>https://www.timeanddate.com/calendar/?country=1</x:v>
      </x:c>
    </x:row>
    <x:row r="24" ht="32" customHeight="1">
      <x:c r="A24" s="12" t="str">
        <x:v>Diwali 2026：11月8日。</x:v>
      </x:c>
      <x:c r="B24" s="12" t="str">
        <x:v>https://www.timeanddate.com/holidays/us/diwali</x:v>
      </x:c>
    </x:row>
    <x:row r="25" ht="32" customHeight="1">
      <x:c r="A25" s="12" t="str">
        <x:v>Hanukkah 2026：12月4日-12月12日。</x:v>
      </x:c>
      <x:c r="B25" s="12" t="str">
        <x:v>https://www.chabad.org/holidays/chanukah/article_cdo/aid/671899/jewish/When-Is-Hanukkah-Chanukah-Celebrated-in-2025-2026-2027-2028-2029-and-2030.htm</x:v>
      </x:c>
    </x:row>
    <x:row r="26" ht="32" customHeight="1">
      <x:c r="A26" s="12" t="str">
        <x:v>Kwanzaa：每年12月26日-次年1月1日。</x:v>
      </x:c>
      <x:c r="B26" s="12" t="str">
        <x:v>https://www.timeanddate.com/holidays/us/kwanzaa</x:v>
      </x:c>
    </x:row>
    <x:row r="27" ht="32" customHeight="1">
      <x:c r="A27" s="12" t="str">
        <x:v>本次补充说明</x:v>
      </x:c>
      <x:c r="B27" s="12" t="str">
        <x:v>根据用户要求，将此前建议补充的节日/节点全部加入主表；明显可变日期标注【每年变动】，敏感公益/健康类节点在简介中加入谨慎商业化提醒。</x:v>
      </x:c>
    </x:row>
    <x:row r="28" ht="32" customHeight="1">
      <x:c r="A28" s="12" t="str">
        <x:v>National Doctors' Day</x:v>
      </x:c>
      <x:c r="B28" s="12" t="str">
        <x:v>https://nationaldoctorsday.org/</x:v>
      </x:c>
    </x:row>
    <x:row r="29" ht="32" customHeight="1">
      <x:c r="A29" s="12" t="str">
        <x:v>Read Across America</x:v>
      </x:c>
      <x:c r="B29" s="12" t="str">
        <x:v>https://www.nea.org/professional-excellence/student-engagement/read-across-america</x:v>
      </x:c>
    </x:row>
    <x:row r="30" ht="32" customHeight="1">
      <x:c r="A30" s="12" t="str">
        <x:v>National Hospital Week</x:v>
      </x:c>
      <x:c r="B30" s="12" t="str">
        <x:v>https://www.aha.org/ahia/get-involved/national-hospital-week</x:v>
      </x:c>
    </x:row>
    <x:row r="31" ht="32" customHeight="1">
      <x:c r="A31" s="12" t="str">
        <x:v>National School Nurse Day</x:v>
      </x:c>
      <x:c r="B31" s="12" t="str">
        <x:v>https://www.nasn.org/advocacy/school-nurse-day</x:v>
      </x:c>
    </x:row>
    <x:row r="32" ht="32" customHeight="1">
      <x:c r="A32" s="12" t="str">
        <x:v>National EMS Week</x:v>
      </x:c>
      <x:c r="B32" s="12" t="str">
        <x:v>https://www.naemt.org/initiatives/ems-week</x:v>
      </x:c>
    </x:row>
    <x:row r="33" ht="32" customHeight="1">
      <x:c r="A33" s="12" t="str">
        <x:v>U.S. Federal Holidays / OPM</x:v>
      </x:c>
      <x:c r="B33" s="12" t="str">
        <x:v>https://www.opm.gov/policy-data-oversight/pay-leave/federal-holidays/</x:v>
      </x:c>
    </x:row>
    <x:row r="34" ht="32" customHeight="1">
      <x:c r="A34" s="12" t="str">
        <x:v>USA.gov U.S. Holidays</x:v>
      </x:c>
      <x:c r="B34" s="12" t="str">
        <x:v>https://www.usa.gov/holidays</x:v>
      </x:c>
    </x:row>
    <x:row r="35" ht="32" customHeight="1">
      <x:c r="A35" s="12" t="str">
        <x:v>National Library Week / ALA</x:v>
      </x:c>
      <x:c r="B35" s="12" t="str">
        <x:v>https://www.ala.org/conferencesevents/celebrationweeks/natlibraryweek</x:v>
      </x:c>
    </x:row>
    <x:row r="36" ht="32" customHeight="1">
      <x:c r="A36" s="12" t="str">
        <x:v>GivingTuesday</x:v>
      </x:c>
      <x:c r="B36" s="12" t="str">
        <x:v>https://www.givingtuesday.org/participate/</x:v>
      </x:c>
    </x:row>
    <x:row r="37" ht="32" customHeight="1">
      <x:c r="A37" s="12" t="str">
        <x:v>Hispanic Heritage Month</x:v>
      </x:c>
      <x:c r="B37" s="12" t="str">
        <x:v>https://hispanicheritagemonth.gov/</x:v>
      </x:c>
    </x:row>
    <x:row r="38" ht="32" customHeight="1">
      <x:c r="A38" s="12" t="str">
        <x:v>Breast Cancer Awareness Month / American Cancer Society</x:v>
      </x:c>
      <x:c r="B38" s="12" t="str">
        <x:v>https://pressroom.cancer.org/40-years-of-breast-cancer-awareness-month</x:v>
      </x:c>
    </x:row>
    <x:row r="39" ht="32" customHeight="1">
      <x:c r="A39" s="12" t="str">
        <x:v>Suicide Prevention Month / SAMHSA</x:v>
      </x:c>
      <x:c r="B39" s="12" t="str">
        <x:v>https://www.samhsa.gov/about/digital-toolkits/suicide-prevention-month</x:v>
      </x:c>
    </x:row>
    <x:row r="40" ht="32" customHeight="1">
      <x:c r="A40" s="12" t="str">
        <x:v>World Suicide Prevention Day / WHO</x:v>
      </x:c>
      <x:c r="B40" s="12" t="str">
        <x:v>https://www.who.int/campaigns/world-suicide-prevention-day/2025</x:v>
      </x:c>
    </x:row>
    <x:row r="41" ht="32" customHeight="1">
      <x:c r="A41" s="12" t="str">
        <x:v>Domestic Violence Awareness Month</x:v>
      </x:c>
      <x:c r="B41" s="12" t="str">
        <x:v>https://www.dvawareness.org/WithSurvivors</x:v>
      </x:c>
    </x:row>
    <x:row r="42" ht="32" customHeight="1">
      <x:c r="A42" s="12" t="str">
        <x:v>Black History Month</x:v>
      </x:c>
      <x:c r="B42" s="12" t="str">
        <x:v>https://www.blackhistorymonth.gov/About.html</x:v>
      </x:c>
    </x:row>
    <x:row r="43" ht="32" customHeight="1">
      <x:c r="A43" s="12" t="str">
        <x:v>Earth Day</x:v>
      </x:c>
      <x:c r="B43" s="12" t="str">
        <x:v>https://www.earthday.org/earth-day-2026/</x:v>
      </x:c>
    </x:row>
    <x:row r="44" ht="32" customHeight="1">
      <x:c r="A44" s="12" t="str">
        <x:v>Random Acts of Kindness Week</x:v>
      </x:c>
      <x:c r="B44" s="12" t="str">
        <x:v>https://schoolofkindness.org/random-acts-of-kindness-week</x:v>
      </x:c>
    </x:row>
    <x:row r="45" ht="32" customHeight="1">
      <x:c r="A45" s="12" t="str">
        <x:v>Friendship Day</x:v>
      </x:c>
      <x:c r="B45" s="12" t="str">
        <x:v>https://nationaldaycalendar.com/celebrations/national-friendship-day-first-sunday-in-august</x:v>
      </x:c>
    </x:row>
    <x:row r="46" ht="32" customHeight="1">
      <x:c r="A46" s="12" t="str">
        <x:v>Cinco de Mayo</x:v>
      </x:c>
      <x:c r="B46" s="12" t="str">
        <x:v>https://www.history.com/articles/cinco-de-mayo</x:v>
      </x:c>
    </x:row>
    <x:row r="47" ht="32" customHeight="1">
      <x:c r="A47" s="12" t="str">
        <x:v>Flag Day</x:v>
      </x:c>
      <x:c r="B47" s="12" t="str">
        <x:v>https://uscode.house.gov/view.xhtml?req=granuleid:USC-prelim-title36-section110</x:v>
      </x:c>
    </x:row>
    <x:row r="48" ht="32" customHeight="1">
      <x:c r="A48" s="12" t="str">
        <x:v>Women’s Equality Day</x:v>
      </x:c>
      <x:c r="B48" s="12" t="str">
        <x:v>https://www.census.gov/newsroom/stories/womens-equality-day.html</x:v>
      </x:c>
    </x:row>
    <x:row r="49" ht="32" customHeight="1">
      <x:c r="A49" s="12" t="str">
        <x:v>St. Patrick's Day</x:v>
      </x:c>
      <x:c r="B49" s="12" t="str">
        <x:v>https://www.history.com/topics/st-patricks-day/history-of-st-patricks-day</x:v>
      </x:c>
    </x:row>
    <x:row r="50" ht="32" customHeight="1">
      <x:c r="A50" s="12" t="str">
        <x:v>National Librarian Day</x:v>
      </x:c>
      <x:c r="B50" s="12" t="str">
        <x:v>https://www.daysoftheyear.com/days/national-librarian-day/</x:v>
      </x:c>
    </x:row>
    <x:row r="52">
      <x:c r="A52" s="31" t="str">
        <x:v>排查时间点生成逻辑</x:v>
      </x:c>
      <x:c r="B52" s="32" t="str">
        <x:v>新增字段按运营节奏生成，不代表官方节日日期；每年变动节点需按当年实际日期倒推。</x:v>
      </x:c>
    </x:row>
    <x:row r="53">
      <x:c r="A53" s="30" t="str">
        <x:v>一次排查</x:v>
      </x:c>
      <x:c r="B53" s="12" t="str">
        <x:v>用于提前筛SKU、核库存/FBA承接、历史动销、Listing适配和是否值得预热。</x:v>
      </x:c>
    </x:row>
    <x:row r="54">
      <x:c r="A54" s="30" t="str">
        <x:v>二次排查</x:v>
      </x:c>
      <x:c r="B54" s="12" t="str">
        <x:v>用于补广告结构、关键词/ASIN、标题/主图埋词、预算和竞价。</x:v>
      </x:c>
    </x:row>
    <x:row r="55">
      <x:c r="A55" s="30" t="str">
        <x:v>高频跟进</x:v>
      </x:c>
      <x:c r="B55" s="12" t="str">
        <x:v>用于节点临近后的利润/ACOS/广告占比/库存/断货/清尾监控。</x:v>
      </x:c>
    </x:row>
    <x:row r="56">
      <x:c r="A56" s="30" t="str">
        <x:v>敏感节点</x:v>
      </x:c>
      <x:c r="B56" s="12" t="str">
        <x:v>黑人历史月、心理健康、自杀预防、家暴关注、六月节、Pride等仅适合真实匹配产品，商业化要克制。</x:v>
      </x:c>
    </x:row>
  </x:sheetData>
  <x:pageMargins left="0.7" right="0.7" top="0.75" bottom="0.75" header="0.3" footer="0.3"/>
  <x:tableParts count="1">
    <x:tablePart xmlns:r="http://schemas.openxmlformats.org/officeDocument/2006/relationships" r:id="R670cd702ebc445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6" hidden="0" customWidth="1"/>
    <x:col min="4" max="4" width="54" hidden="0" customWidth="1"/>
  </x:cols>
  <x:sheetData>
    <x:row r="1">
      <x:c r="A1" s="29" t="str">
        <x:v>节奏类型</x:v>
      </x:c>
      <x:c r="B1" s="29" t="str">
        <x:v>一次排查</x:v>
      </x:c>
      <x:c r="C1" s="29" t="str">
        <x:v>二次排查</x:v>
      </x:c>
      <x:c r="D1" s="29" t="str">
        <x:v>高频跟进</x:v>
      </x:c>
    </x:row>
    <x:row r="2">
      <x:c r="A2" s="15" t="str">
        <x:v>大节日/强礼品节点</x:v>
      </x:c>
      <x:c r="B2" s="15" t="str">
        <x:v>节点前90-120天：历史销量、库存承接、Listing适配。</x:v>
      </x:c>
      <x:c r="C2" s="15" t="str">
        <x:v>节点前45-60天：广告结构、关键词/ASIN、标题主图到位。</x:v>
      </x:c>
      <x:c r="D2" s="15" t="str">
        <x:v>节点前21天-结束后3天：头部每日看，节后降投/清尾。</x:v>
      </x:c>
    </x:row>
    <x:row r="3">
      <x:c r="A3" s="15" t="str">
        <x:v>职业感谢周/感谢日</x:v>
      </x:c>
      <x:c r="B3" s="15" t="str">
        <x:v>节点前60-75天：按职业词筛SKU，核库存与历史动销。</x:v>
      </x:c>
      <x:c r="C3" s="15" t="str">
        <x:v>节点前30-40天：建/补广告组，补词和ASIN。</x:v>
      </x:c>
      <x:c r="D3" s="15" t="str">
        <x:v>节点前14天-节点周结束：高库存/高花费每日看。</x:v>
      </x:c>
    </x:row>
    <x:row r="4">
      <x:c r="A4" s="15" t="str">
        <x:v>意识月/敏感节点</x:v>
      </x:c>
      <x:c r="B4" s="15" t="str">
        <x:v>开始前75-90天：先确认真实匹配，避免硬蹭。</x:v>
      </x:c>
      <x:c r="C4" s="15" t="str">
        <x:v>开始前35-45天：文案/图片/关键词克制合规。</x:v>
      </x:c>
      <x:c r="D4" s="15" t="str">
        <x:v>开始前14天-节点中段：每2-3天看，风险高就停。</x:v>
      </x:c>
    </x:row>
    <x:row r="5">
      <x:c r="A5" s="15" t="str">
        <x:v>长周期季节</x:v>
      </x:c>
      <x:c r="B5" s="15" t="str">
        <x:v>热卖启动前90天：看历史动销起点和库存承接。</x:v>
      </x:c>
      <x:c r="C5" s="15" t="str">
        <x:v>启动前45天：Listing/广告/价格到位，低预算轻测。</x:v>
      </x:c>
      <x:c r="D5" s="15" t="str">
        <x:v>启动前14天-旺季中段：头部每日看，长尾每周2次。</x:v>
      </x:c>
    </x:row>
    <x:row r="6">
      <x:c r="A6" s="15" t="str">
        <x:v>大促节点</x:v>
      </x:c>
      <x:c r="B6" s="15" t="str">
        <x:v>大促前45-60天：盘库存、价格、毛利、滞销/放量款。</x:v>
      </x:c>
      <x:c r="C6" s="15" t="str">
        <x:v>大促前14-21天：定折扣、预算上限、主推/清货名单。</x:v>
      </x:c>
      <x:c r="D6" s="15" t="str">
        <x:v>大促前7天-结束后2天：每日看利润、广告占比、断货/清货。</x:v>
      </x:c>
    </x:row>
    <x:row r="8">
      <x:c r="A8" s="33" t="str">
        <x:v>自动高亮规则（主表）</x:v>
      </x:c>
      <x:c r="B8" s="33" t="str">
        <x:v>颜色</x:v>
      </x:c>
      <x:c r="C8" s="33" t="str">
        <x:v>含义</x:v>
      </x:c>
      <x:c r="D8" s="33" t="str">
        <x:v>动作优先级</x:v>
      </x:c>
    </x:row>
    <x:row r="9">
      <x:c r="A9" s="12" t="str">
        <x:v>节点进行中</x:v>
      </x:c>
      <x:c r="B9" s="12" t="str">
        <x:v>红色</x:v>
      </x:c>
      <x:c r="C9" s="12" t="str">
        <x:v>今天处于节日/销售窗口内</x:v>
      </x:c>
      <x:c r="D9" s="12" t="str">
        <x:v>最高：看销量、库存、广告花费、转化、清尾/控投</x:v>
      </x:c>
    </x:row>
    <x:row r="10">
      <x:c r="A10" s="12" t="str">
        <x:v>高频跟进</x:v>
      </x:c>
      <x:c r="B10" s="12" t="str">
        <x:v>黄色</x:v>
      </x:c>
      <x:c r="C10" s="12" t="str">
        <x:v>今天处于高频跟进窗口</x:v>
      </x:c>
      <x:c r="D10" s="12" t="str">
        <x:v>高：头部SKU每日看，高库存/高花费优先</x:v>
      </x:c>
    </x:row>
    <x:row r="11">
      <x:c r="A11" s="12" t="str">
        <x:v>二次排查</x:v>
      </x:c>
      <x:c r="B11" s="12" t="str">
        <x:v>蓝色</x:v>
      </x:c>
      <x:c r="C11" s="12" t="str">
        <x:v>今天处于二次排查窗口</x:v>
      </x:c>
      <x:c r="D11" s="12" t="str">
        <x:v>中高：补广告结构、关键词/ASIN、预算、Listing埋词</x:v>
      </x:c>
    </x:row>
    <x:row r="12">
      <x:c r="A12" s="12" t="str">
        <x:v>一次排查</x:v>
      </x:c>
      <x:c r="B12" s="12" t="str">
        <x:v>绿色</x:v>
      </x:c>
      <x:c r="C12" s="12" t="str">
        <x:v>今天处于一次排查窗口</x:v>
      </x:c>
      <x:c r="D12" s="12" t="str">
        <x:v>中：先筛SKU，看历史动销、库存、利润、Listing匹配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4" hidden="0" customWidth="1"/>
    <x:col min="5" max="5" width="42" hidden="0" customWidth="1"/>
    <x:col min="6" max="6" width="48" hidden="0" customWidth="1"/>
    <x:col min="7" max="7" width="48" hidden="0" customWidth="1"/>
  </x:cols>
  <x:sheetData>
    <x:row r="1">
      <x:c r="A1" s="48" t="str">
        <x:v>今日提醒（生成日期：2026-05-07；主表“今日状态/高亮”使用 TODAY()，打开文件会随当天自动变化）</x:v>
      </x:c>
      <x:c r="B1" s="48" t="str">
        <x:v>今日提醒（生成日期：2026-05-07；主表“今日状态/高亮”使用 TODAY()，打开文件会随当天自动变化）</x:v>
      </x:c>
      <x:c r="C1" s="48" t="str">
        <x:v>今日提醒（生成日期：2026-05-07；主表“今日状态/高亮”使用 TODAY()，打开文件会随当天自动变化）</x:v>
      </x:c>
      <x:c r="D1" s="48" t="str">
        <x:v>今日提醒（生成日期：2026-05-07；主表“今日状态/高亮”使用 TODAY()，打开文件会随当天自动变化）</x:v>
      </x:c>
      <x:c r="E1" s="48" t="str">
        <x:v>今日提醒（生成日期：2026-05-07；主表“今日状态/高亮”使用 TODAY()，打开文件会随当天自动变化）</x:v>
      </x:c>
      <x:c r="F1" s="48" t="str">
        <x:v>今日提醒（生成日期：2026-05-07；主表“今日状态/高亮”使用 TODAY()，打开文件会随当天自动变化）</x:v>
      </x:c>
      <x:c r="G1" s="48" t="str">
        <x:v>今日提醒（生成日期：2026-05-07；主表“今日状态/高亮”使用 TODAY()，打开文件会随当天自动变化）</x:v>
      </x:c>
    </x:row>
    <x:row r="2">
      <x:c r="A2" t="str"/>
      <x:c r="B2" t="str"/>
      <x:c r="C2" t="str"/>
      <x:c r="D2" t="str"/>
      <x:c r="E2" t="str"/>
      <x:c r="F2" t="str"/>
      <x:c r="G2" t="str"/>
    </x:row>
    <x:row r="3">
      <x:c r="A3" s="33" t="str">
        <x:v>节气名</x:v>
      </x:c>
      <x:c r="B3" s="33" t="str">
        <x:v>中文翻译</x:v>
      </x:c>
      <x:c r="C3" s="33" t="str">
        <x:v>今日状态</x:v>
      </x:c>
      <x:c r="D3" s="33" t="str">
        <x:v>时间（2026）</x:v>
      </x:c>
      <x:c r="E3" s="33" t="str">
        <x:v>对应产品方向</x:v>
      </x:c>
      <x:c r="F3" s="33" t="str">
        <x:v>今天动作提示</x:v>
      </x:c>
      <x:c r="G3" s="33" t="str">
        <x:v>高频跟进时间点（2026）</x:v>
      </x:c>
    </x:row>
    <x:row r="4" ht="46" customHeight="1">
      <x:c r="A4" s="12" t="str">
        <x:v>Graduation Season</x:v>
      </x:c>
      <x:c r="B4" s="12" t="str">
        <x:v>毕业季</x:v>
      </x:c>
      <x:c r="C4" s="12" t="str">
        <x:v>节点进行中</x:v>
      </x:c>
      <x:c r="D4" s="12" t="str">
        <x:v>2026-04-01 ~ 2026-06-15</x:v>
      </x:c>
      <x:c r="E4" s="12" t="str">
        <x:v>毕业礼、class of 2026、毕业钥匙扣/手链/卡片/书签</x:v>
      </x:c>
      <x:c r="F4" s="12" t="str">
        <x:v>今天正在节点/销售窗口内：看销量、库存承接、广告花费、转化和是否需要控投/清尾。</x:v>
      </x:c>
      <x:c r="G4" s="12" t="str">
        <x:v>2026-03-18 ~ 2026-05-08：头部SKU每日看，普通SKU每周2次。</x:v>
      </x:c>
    </x:row>
    <x:row r="5" ht="46" customHeight="1">
      <x:c r="A5" s="12" t="str">
        <x:v>Prom Season</x:v>
      </x:c>
      <x:c r="B5" s="12" t="str">
        <x:v>毕业舞会季</x:v>
      </x:c>
      <x:c r="C5" s="12" t="str">
        <x:v>节点进行中</x:v>
      </x:c>
      <x:c r="D5" s="12" t="str">
        <x:v>2026-03-01 ~ 2026-05-31</x:v>
      </x:c>
      <x:c r="E5" s="12" t="str">
        <x:v>毕业礼、class of 2026、毕业钥匙扣/手链/卡片/书签</x:v>
      </x:c>
      <x:c r="F5" s="12" t="str">
        <x:v>今天正在节点/销售窗口内：看销量、库存承接、广告花费、转化和是否需要控投/清尾。</x:v>
      </x:c>
      <x:c r="G5" s="12" t="str">
        <x:v>2026-02-15 ~ 2026-04-15：头部SKU每日看，普通SKU每周2次。</x:v>
      </x:c>
    </x:row>
    <x:row r="6" ht="46" customHeight="1">
      <x:c r="A6" s="12" t="str">
        <x:v>Mental Health Awareness Month</x:v>
      </x:c>
      <x:c r="B6" s="12" t="str">
        <x:v>心理健康意识月</x:v>
      </x:c>
      <x:c r="C6" s="12" t="str">
        <x:v>节点进行中</x:v>
      </x:c>
      <x:c r="D6" s="12" t="str">
        <x:v>2026-05-01 ~ 2026-05-31</x:v>
      </x:c>
      <x:c r="E6" s="12" t="str">
        <x:v>意识/支持类产品：丝带、手链、鼓励卡、贴纸；敏感节点商业化要克制</x:v>
      </x:c>
      <x:c r="F6" s="12" t="str">
        <x:v>今天正在节点/销售窗口内：看销量、库存承接、广告花费、转化和是否需要控投/清尾。</x:v>
      </x:c>
      <x:c r="G6" s="12" t="str">
        <x:v>2026-04-17 ~ 2026-05-16：每2-3天看；表现差或表达风险高就停。</x:v>
      </x:c>
    </x:row>
    <x:row r="7" ht="46" customHeight="1">
      <x:c r="A7" s="12" t="str">
        <x:v>National Speech-Language-Hearing Month</x:v>
      </x:c>
      <x:c r="B7" s="12" t="str">
        <x:v>言语语言听力月</x:v>
      </x:c>
      <x:c r="C7" s="12" t="str">
        <x:v>节点进行中</x:v>
      </x:c>
      <x:c r="D7" s="12" t="str">
        <x:v>2026-05-01 ~ 2026-05-31</x:v>
      </x:c>
      <x:c r="E7" s="12" t="str">
        <x:v>SLP/audiologist gifts、speech therapy感谢礼、办公室小礼</x:v>
      </x:c>
      <x:c r="F7" s="12" t="str">
        <x:v>今天正在节点/销售窗口内：看销量、库存承接、广告花费、转化和是否需要控投/清尾。</x:v>
      </x:c>
      <x:c r="G7" s="12" t="str">
        <x:v>2026-04-17 ~ 2026-04-24：重点SKU每日或隔日看，长尾每周2次。</x:v>
      </x:c>
    </x:row>
    <x:row r="8" ht="46" customHeight="1">
      <x:c r="A8" s="12" t="str">
        <x:v>Teacher Appreciation Week</x:v>
      </x:c>
      <x:c r="B8" s="12" t="str">
        <x:v>教师感谢周</x:v>
      </x:c>
      <x:c r="C8" s="12" t="str">
        <x:v>节点进行中</x:v>
      </x:c>
      <x:c r="D8" s="12" t="str">
        <x:v>2026-05-04 ~ 2026-05-08</x:v>
      </x:c>
      <x:c r="E8" s="12" t="str">
        <x:v>teacher gifts、staff appreciation bulk gifts、书签/手链/感谢卡</x:v>
      </x:c>
      <x:c r="F8" s="12" t="str">
        <x:v>今天正在节点/销售窗口内：看销量、库存承接、广告花费、转化和是否需要控投/清尾。</x:v>
      </x:c>
      <x:c r="G8" s="12" t="str">
        <x:v>2026-04-20 ~ 2026-05-08：高库存/高花费SKU每日看，其余2-3天看。</x:v>
      </x:c>
    </x:row>
    <x:row r="9" ht="46" customHeight="1">
      <x:c r="A9" s="12" t="str">
        <x:v>Teacher Appreciation Day / National Teacher Day</x:v>
      </x:c>
      <x:c r="B9" s="12" t="str">
        <x:v>教师感谢日/全国教师日</x:v>
      </x:c>
      <x:c r="C9" s="12" t="str">
        <x:v>高频跟进</x:v>
      </x:c>
      <x:c r="D9" s="12" t="str">
        <x:v>2026-05-05</x:v>
      </x:c>
      <x:c r="E9" s="12" t="str">
        <x:v>teacher gifts、staff appreciation bulk gifts、书签/手链/感谢卡</x:v>
      </x:c>
      <x:c r="F9" s="12" t="str">
        <x:v>今天在高频跟进窗口：头部SKU每日看；重点看高库存、高花费、断货风险和ACOS。</x:v>
      </x:c>
      <x:c r="G9" s="12" t="str">
        <x:v>2026-04-21 ~ 2026-05-07：重点SKU每日看，普通SKU每2-3天看。</x:v>
      </x:c>
    </x:row>
    <x:row r="10" ht="46" customHeight="1">
      <x:c r="A10" s="12" t="str">
        <x:v>National School Nurse Day</x:v>
      </x:c>
      <x:c r="B10" s="12" t="str">
        <x:v>全国学校护士日</x:v>
      </x:c>
      <x:c r="C10" s="12" t="str">
        <x:v>高频跟进</x:v>
      </x:c>
      <x:c r="D10" s="12" t="str">
        <x:v>2026-05-06</x:v>
      </x:c>
      <x:c r="E10" s="12" t="str">
        <x:v>school nurse gifts、护士感谢卡、badge reel、钥匙扣</x:v>
      </x:c>
      <x:c r="F10" s="12" t="str">
        <x:v>今天在高频跟进窗口：头部SKU每日看；重点看高库存、高花费、断货风险和ACOS。</x:v>
      </x:c>
      <x:c r="G10" s="12" t="str">
        <x:v>2026-04-22 ~ 2026-05-08：重点SKU每日看，普通SKU每2-3天看。</x:v>
      </x:c>
    </x:row>
    <x:row r="11" ht="46" customHeight="1">
      <x:c r="A11" s="12" t="str">
        <x:v>National Nurses Week</x:v>
      </x:c>
      <x:c r="B11" s="12" t="str">
        <x:v>全国护士周</x:v>
      </x:c>
      <x:c r="C11" s="12" t="str">
        <x:v>节点进行中</x:v>
      </x:c>
      <x:c r="D11" s="12" t="str">
        <x:v>2026-05-06 ~ 2026-05-12</x:v>
      </x:c>
      <x:c r="E11" s="12" t="str">
        <x:v>nurse gifts、nurse week bulk gifts、badge reel、杯子、钥匙扣</x:v>
      </x:c>
      <x:c r="F11" s="12" t="str">
        <x:v>今天正在节点/销售窗口内：看销量、库存承接、广告花费、转化和是否需要控投/清尾。</x:v>
      </x:c>
      <x:c r="G11" s="12" t="str">
        <x:v>2026-04-22 ~ 2026-05-12：高库存/高花费SKU每日看，其余2-3天看。</x:v>
      </x:c>
    </x:row>
    <x:row r="12" ht="46" customHeight="1">
      <x:c r="A12" s="12" t="str">
        <x:v>National Nurses Day</x:v>
      </x:c>
      <x:c r="B12" s="12" t="str">
        <x:v>全国护士日</x:v>
      </x:c>
      <x:c r="C12" s="12" t="str">
        <x:v>高频跟进</x:v>
      </x:c>
      <x:c r="D12" s="12" t="str">
        <x:v>2026-05-06</x:v>
      </x:c>
      <x:c r="E12" s="12" t="str">
        <x:v>nurse gifts、nurse week bulk gifts、badge reel、杯子、钥匙扣</x:v>
      </x:c>
      <x:c r="F12" s="12" t="str">
        <x:v>今天在高频跟进窗口：头部SKU每日看；重点看高库存、高花费、断货风险和ACOS。</x:v>
      </x:c>
      <x:c r="G12" s="12" t="str">
        <x:v>2026-04-22 ~ 2026-05-08：重点SKU每日看，普通SKU每2-3天看。</x:v>
      </x:c>
    </x:row>
    <x:row r="13" ht="46" customHeight="1">
      <x:c r="A13" s="12" t="str">
        <x:v>International Nurses Day</x:v>
      </x:c>
      <x:c r="B13" s="12" t="str">
        <x:v>国际护士节</x:v>
      </x:c>
      <x:c r="C13" s="12" t="str">
        <x:v>高频跟进</x:v>
      </x:c>
      <x:c r="D13" s="12" t="str">
        <x:v>2026-05-12</x:v>
      </x:c>
      <x:c r="E13" s="12" t="str">
        <x:v>nurse gifts、nurse week bulk gifts、badge reel、杯子、钥匙扣</x:v>
      </x:c>
      <x:c r="F13" s="12" t="str">
        <x:v>今天在高频跟进窗口：头部SKU每日看；重点看高库存、高花费、断货风险和ACOS。</x:v>
      </x:c>
      <x:c r="G13" s="12" t="str">
        <x:v>2026-04-28 ~ 2026-05-14：重点SKU每日看，普通SKU每2-3天看。</x:v>
      </x:c>
    </x:row>
    <x:row r="14" ht="46" customHeight="1">
      <x:c r="A14" s="12" t="str">
        <x:v>Staff Appreciation Week</x:v>
      </x:c>
      <x:c r="B14" s="12" t="str">
        <x:v>员工/教职工感谢周</x:v>
      </x:c>
      <x:c r="C14" s="12" t="str">
        <x:v>节点进行中</x:v>
      </x:c>
      <x:c r="D14" s="12" t="str">
        <x:v>2026-05-04 ~ 2026-05-08</x:v>
      </x:c>
      <x:c r="E14" s="12" t="str">
        <x:v>teacher gifts、staff appreciation bulk gifts、书签/手链/感谢卡</x:v>
      </x:c>
      <x:c r="F14" s="12" t="str">
        <x:v>今天正在节点/销售窗口内：看销量、库存承接、广告花费、转化和是否需要控投/清尾。</x:v>
      </x:c>
      <x:c r="G14" s="12" t="str">
        <x:v>2026-04-20 ~ 2026-05-08：高库存/高花费SKU每日看，其余2-3天看。</x:v>
      </x:c>
    </x:row>
    <x:row r="15" ht="46" customHeight="1">
      <x:c r="A15" s="12" t="str">
        <x:v>Mother's Day</x:v>
      </x:c>
      <x:c r="B15" s="12" t="str">
        <x:v>母亲节</x:v>
      </x:c>
      <x:c r="C15" s="12" t="str">
        <x:v>高频跟进</x:v>
      </x:c>
      <x:c r="D15" s="12" t="str">
        <x:v>2026-05-10</x:v>
      </x:c>
      <x:c r="E15" s="12" t="str">
        <x:v>mom gifts、christian mom gifts、首饰/手链、感谢卡、家居小礼</x:v>
      </x:c>
      <x:c r="F15" s="12" t="str">
        <x:v>今天在高频跟进窗口：头部SKU每日看；重点看高库存、高花费、断货风险和ACOS。</x:v>
      </x:c>
      <x:c r="G15" s="12" t="str">
        <x:v>2026-04-19 ~ 2026-05-13：头部SKU每日看，过后及时降投/清尾。</x:v>
      </x:c>
    </x:row>
    <x:row r="16" ht="46" customHeight="1">
      <x:c r="A16" s="12" t="str">
        <x:v>National Police Week</x:v>
      </x:c>
      <x:c r="B16" s="12" t="str">
        <x:v>全国警察周</x:v>
      </x:c>
      <x:c r="C16" s="12" t="str">
        <x:v>高频跟进</x:v>
      </x:c>
      <x:c r="D16" s="12" t="str">
        <x:v>2026-05-10 ~ 2026-05-16</x:v>
      </x:c>
      <x:c r="E16" s="12" t="str">
        <x:v>police officer gifts、law enforcement感谢礼、patriotic keychain</x:v>
      </x:c>
      <x:c r="F16" s="12" t="str">
        <x:v>今天在高频跟进窗口：头部SKU每日看；重点看高库存、高花费、断货风险和ACOS。</x:v>
      </x:c>
      <x:c r="G16" s="12" t="str">
        <x:v>2026-04-26 ~ 2026-05-16：高库存/高花费SKU每日看，其余2-3天看。</x:v>
      </x:c>
    </x:row>
    <x:row r="17" ht="46" customHeight="1">
      <x:c r="A17" s="12" t="str">
        <x:v>National Hospital Week</x:v>
      </x:c>
      <x:c r="B17" s="12" t="str">
        <x:v>全国医院周</x:v>
      </x:c>
      <x:c r="C17" s="12" t="str">
        <x:v>高频跟进</x:v>
      </x:c>
      <x:c r="D17" s="12" t="str">
        <x:v>2026-05-10 ~ 2026-05-16</x:v>
      </x:c>
      <x:c r="E17" s="12" t="str">
        <x:v>healthcare worker gifts、hospital staff appreciation、badge reel、钥匙扣、感谢卡</x:v>
      </x:c>
      <x:c r="F17" s="12" t="str">
        <x:v>今天在高频跟进窗口：头部SKU每日看；重点看高库存、高花费、断货风险和ACOS。</x:v>
      </x:c>
      <x:c r="G17" s="12" t="str">
        <x:v>2026-04-26 ~ 2026-05-16：高库存/高花费SKU每日看，其余2-3天看。</x:v>
      </x:c>
    </x:row>
    <x:row r="18" ht="46" customHeight="1">
      <x:c r="A18" s="12" t="str">
        <x:v>World Baking Day</x:v>
      </x:c>
      <x:c r="B18" s="12" t="str">
        <x:v>世界烘焙日</x:v>
      </x:c>
      <x:c r="C18" s="12" t="str">
        <x:v>高频跟进</x:v>
      </x:c>
      <x:c r="D18" s="12" t="str">
        <x:v>2026-05-17</x:v>
      </x:c>
      <x:c r="E18" s="12" t="str">
        <x:v>baker gifts、厨房小物、食谱卡、烘焙主题装饰</x:v>
      </x:c>
      <x:c r="F18" s="12" t="str">
        <x:v>今天在高频跟进窗口：头部SKU每日看；重点看高库存、高花费、断货风险和ACOS。</x:v>
      </x:c>
      <x:c r="G18" s="12" t="str">
        <x:v>2026-05-03 ~ 2026-05-19：重点SKU每日看，普通SKU每2-3天看。</x:v>
      </x:c>
    </x:row>
    <x:row r="19" ht="46" customHeight="1">
      <x:c r="A19" s="12" t="str">
        <x:v>National EMS Week</x:v>
      </x:c>
      <x:c r="B19" s="12" t="str">
        <x:v>全国急救医疗服务周</x:v>
      </x:c>
      <x:c r="C19" s="12" t="str">
        <x:v>高频跟进</x:v>
      </x:c>
      <x:c r="D19" s="12" t="str">
        <x:v>2026-05-17 ~ 2026-05-23</x:v>
      </x:c>
      <x:c r="E19" s="12" t="str">
        <x:v>EMT/paramedic gifts、first responder感谢礼、钥匙扣</x:v>
      </x:c>
      <x:c r="F19" s="12" t="str">
        <x:v>今天在高频跟进窗口：头部SKU每日看；重点看高库存、高花费、断货风险和ACOS。</x:v>
      </x:c>
      <x:c r="G19" s="12" t="str">
        <x:v>2026-05-03 ~ 2026-05-23：高库存/高花费SKU每日看，其余2-3天看。</x:v>
      </x:c>
    </x:row>
    <x:row r="20" ht="46" customHeight="1">
      <x:c r="A20" s="12" t="str">
        <x:v>Memorial Day</x:v>
      </x:c>
      <x:c r="B20" s="12" t="str">
        <x:v>阵亡将士纪念日</x:v>
      </x:c>
      <x:c r="C20" s="12" t="str">
        <x:v>高频跟进</x:v>
      </x:c>
      <x:c r="D20" s="12" t="str">
        <x:v>2026-05-25</x:v>
      </x:c>
      <x:c r="E20" s="12" t="str">
        <x:v>patriotic gifts、USA旗帜元素、veteran/military remembrance、户外/BBQ小物</x:v>
      </x:c>
      <x:c r="F20" s="12" t="str">
        <x:v>今天在高频跟进窗口：头部SKU每日看；重点看高库存、高花费、断货风险和ACOS。</x:v>
      </x:c>
      <x:c r="G20" s="12" t="str">
        <x:v>2026-05-04 ~ 2026-05-28：头部SKU每日看，过后及时降投/清尾。</x:v>
      </x:c>
    </x:row>
    <x:row r="21" ht="46" customHeight="1">
      <x:c r="A21" s="12" t="str">
        <x:v>Wedding Season</x:v>
      </x:c>
      <x:c r="B21" s="12" t="str">
        <x:v>婚礼季</x:v>
      </x:c>
      <x:c r="C21" s="12" t="str">
        <x:v>节点进行中</x:v>
      </x:c>
      <x:c r="D21" s="12" t="str">
        <x:v>2026-03-01 ~ 2026-10-31</x:v>
      </x:c>
      <x:c r="E21" s="12" t="str">
        <x:v>婚礼伴手礼、bridal party gifts、guest favors、祝福卡</x:v>
      </x:c>
      <x:c r="F21" s="12" t="str">
        <x:v>今天正在节点/销售窗口内：看销量、库存承接、广告花费、转化和是否需要控投/清尾。</x:v>
      </x:c>
      <x:c r="G21" s="12" t="str">
        <x:v>2026-02-15 ~ 2026-07-01：头部SKU每日看，普通SKU每周2次。</x:v>
      </x:c>
    </x:row>
    <x:row r="22" ht="46" customHeight="1">
      <x:c r="A22" s="12" t="str">
        <x:v>Summer Product Season</x:v>
      </x:c>
      <x:c r="B22" s="12" t="str">
        <x:v>夏季产品季</x:v>
      </x:c>
      <x:c r="C22" s="12" t="str">
        <x:v>节点进行中</x:v>
      </x:c>
      <x:c r="D22" s="12" t="str">
        <x:v>2026-03-15 ~ 2026-09-30</x:v>
      </x:c>
      <x:c r="E22" s="12" t="str">
        <x:v>夏季户外、旅行、露营、泳池、降温、太阳花/海滩主题产品</x:v>
      </x:c>
      <x:c r="F22" s="12" t="str">
        <x:v>今天正在节点/销售窗口内：看销量、库存承接、广告花费、转化和是否需要控投/清尾。</x:v>
      </x:c>
      <x:c r="G22" s="12" t="str">
        <x:v>2026-03-01 ~ 2026-06-22：头部SKU每日看，普通SKU每周2次。</x:v>
      </x:c>
    </x:row>
    <x:row r="23" ht="46" customHeight="1">
      <x:c r="A23" s="12" t="str">
        <x:v>Juneteenth</x:v>
      </x:c>
      <x:c r="B23" s="12" t="str">
        <x:v>六月节/解放日</x:v>
      </x:c>
      <x:c r="C23" s="12" t="str">
        <x:v>二次排查</x:v>
      </x:c>
      <x:c r="D23" s="12" t="str">
        <x:v>2026-06-19</x:v>
      </x:c>
      <x:c r="E23" s="12" t="str">
        <x:v>意识/支持类产品：丝带、手链、鼓励卡、贴纸；敏感节点商业化要克制</x:v>
      </x:c>
      <x:c r="F23" s="12" t="str">
        <x:v>今天在二次排查窗口：补广告结构、关键词/ASIN、预算和Listing埋词。</x:v>
      </x:c>
      <x:c r="G23" s="12" t="str">
        <x:v>2026-06-05 ~ 2026-06-19：每2-3天看；表现差或表达风险高就停。</x:v>
      </x:c>
    </x:row>
    <x:row r="24" ht="46" customHeight="1">
      <x:c r="A24" s="12" t="str">
        <x:v>Father's Day</x:v>
      </x:c>
      <x:c r="B24" s="12" t="str">
        <x:v>父亲节</x:v>
      </x:c>
      <x:c r="C24" s="12" t="str">
        <x:v>二次排查</x:v>
      </x:c>
      <x:c r="D24" s="12" t="str">
        <x:v>2026-06-21</x:v>
      </x:c>
      <x:c r="E24" s="12" t="str">
        <x:v>dad gifts、father keychain、工具/户外风小礼、感谢卡</x:v>
      </x:c>
      <x:c r="F24" s="12" t="str">
        <x:v>今天在二次排查窗口：补广告结构、关键词/ASIN、预算和Listing埋词。</x:v>
      </x:c>
      <x:c r="G24" s="12" t="str">
        <x:v>2026-05-31 ~ 2026-06-24：头部SKU每日看，过后及时降投/清尾。</x:v>
      </x:c>
    </x:row>
    <x:row r="25" ht="46" customHeight="1">
      <x:c r="A25" s="12" t="str">
        <x:v>CNA Week / National Nursing Assistants Week</x:v>
      </x:c>
      <x:c r="B25" s="12" t="str">
        <x:v>CNA护理助理周/护理助理周</x:v>
      </x:c>
      <x:c r="C25" s="12" t="str">
        <x:v>二次排查</x:v>
      </x:c>
      <x:c r="D25" s="12" t="str">
        <x:v>2026-06-11 ~ 2026-06-17</x:v>
      </x:c>
      <x:c r="E25" s="12" t="str">
        <x:v>CNA gifts、nursing assistant感谢礼、badge reel、钥匙扣</x:v>
      </x:c>
      <x:c r="F25" s="12" t="str">
        <x:v>今天在二次排查窗口：补广告结构、关键词/ASIN、预算和Listing埋词。</x:v>
      </x:c>
      <x:c r="G25" s="12" t="str">
        <x:v>2026-05-28 ~ 2026-06-17：高库存/高花费SKU每日看，其余2-3天看。</x:v>
      </x:c>
    </x:row>
    <x:row r="26" ht="46" customHeight="1">
      <x:c r="A26" s="12" t="str">
        <x:v>Independence Day</x:v>
      </x:c>
      <x:c r="B26" s="12" t="str">
        <x:v>美国独立日</x:v>
      </x:c>
      <x:c r="C26" s="12" t="str">
        <x:v>二次排查</x:v>
      </x:c>
      <x:c r="D26" s="12" t="str">
        <x:v>2026-07-04</x:v>
      </x:c>
      <x:c r="E26" s="12" t="str">
        <x:v>patriotic gifts、USA旗帜元素、veteran/military thank you礼品、钥匙扣</x:v>
      </x:c>
      <x:c r="F26" s="12" t="str">
        <x:v>今天在二次排查窗口：补广告结构、关键词/ASIN、预算和Listing埋词。</x:v>
      </x:c>
      <x:c r="G26" s="12" t="str">
        <x:v>2026-06-13 ~ 2026-07-07：头部SKU每日看，过后及时降投/清尾。</x:v>
      </x:c>
    </x:row>
    <x:row r="27">
      <x:c r="A27" t="str"/>
      <x:c r="B27" t="str"/>
      <x:c r="C27" t="str"/>
      <x:c r="D27" t="str"/>
      <x:c r="E27" t="str"/>
      <x:c r="F27" t="str"/>
      <x:c r="G27" t="str"/>
    </x:row>
    <x:row r="28">
      <x:c r="A28" t="str"/>
      <x:c r="B28" t="str"/>
      <x:c r="C28" t="str"/>
      <x:c r="D28" t="str"/>
      <x:c r="E28" t="str"/>
      <x:c r="F28" t="str"/>
      <x:c r="G28" t="str"/>
    </x:row>
    <x:row r="29">
      <x:c r="A29" t="str"/>
      <x:c r="B29" t="str"/>
      <x:c r="C29" t="str"/>
      <x:c r="D29" t="str"/>
      <x:c r="E29" t="str"/>
      <x:c r="F29" t="str"/>
      <x:c r="G29" t="str"/>
    </x:row>
    <x:row r="30">
      <x:c r="A30" t="str"/>
      <x:c r="B30" t="str"/>
      <x:c r="C30" t="str"/>
      <x:c r="D30" t="str"/>
      <x:c r="E30" t="str"/>
      <x:c r="F30" t="str"/>
      <x:c r="G30" t="str"/>
    </x:row>
    <x:row r="31">
      <x:c r="A31" t="str"/>
      <x:c r="B31" t="str"/>
      <x:c r="C31" t="str"/>
      <x:c r="D31" t="str"/>
      <x:c r="E31" t="str"/>
      <x:c r="F31" t="str"/>
      <x:c r="G31" t="str"/>
    </x:row>
    <x:row r="32">
      <x:c r="A32" t="str"/>
      <x:c r="B32" t="str"/>
      <x:c r="C32" t="str"/>
      <x:c r="D32" t="str"/>
      <x:c r="E32" t="str"/>
      <x:c r="F32" t="str"/>
      <x:c r="G32" t="str"/>
    </x:row>
    <x:row r="33">
      <x:c r="A33" t="str"/>
      <x:c r="B33" t="str"/>
      <x:c r="C33" t="str"/>
      <x:c r="D33" t="str"/>
      <x:c r="E33" t="str"/>
      <x:c r="F33" t="str"/>
      <x:c r="G33" t="str"/>
    </x:row>
    <x:row r="34">
      <x:c r="A34" t="str"/>
      <x:c r="B34" t="str"/>
      <x:c r="C34" t="str"/>
      <x:c r="D34" t="str"/>
      <x:c r="E34" t="str"/>
      <x:c r="F34" t="str"/>
      <x:c r="G34" t="str"/>
    </x:row>
    <x:row r="35">
      <x:c r="A35" t="str"/>
      <x:c r="B35" t="str"/>
      <x:c r="C35" t="str"/>
      <x:c r="D35" t="str"/>
      <x:c r="E35" t="str"/>
      <x:c r="F35" t="str"/>
      <x:c r="G35" t="str"/>
    </x:row>
    <x:row r="36">
      <x:c r="A36" t="str"/>
      <x:c r="B36" t="str"/>
      <x:c r="C36" t="str"/>
      <x:c r="D36" t="str"/>
      <x:c r="E36" t="str"/>
      <x:c r="F36" t="str"/>
      <x:c r="G36" t="str"/>
    </x:row>
    <x:row r="37">
      <x:c r="A37" t="str"/>
      <x:c r="B37" t="str"/>
      <x:c r="C37" t="str"/>
      <x:c r="D37" t="str"/>
      <x:c r="E37" t="str"/>
      <x:c r="F37" t="str"/>
      <x:c r="G37" t="str"/>
    </x:row>
    <x:row r="38">
      <x:c r="A38" t="str"/>
      <x:c r="B38" t="str"/>
      <x:c r="C38" t="str"/>
      <x:c r="D38" t="str"/>
      <x:c r="E38" t="str"/>
      <x:c r="F38" t="str"/>
      <x:c r="G38" t="str"/>
    </x:row>
    <x:row r="39">
      <x:c r="A39" t="str"/>
      <x:c r="B39" t="str"/>
      <x:c r="C39" t="str"/>
      <x:c r="D39" t="str"/>
      <x:c r="E39" t="str"/>
      <x:c r="F39" t="str"/>
      <x:c r="G39" t="str"/>
    </x:row>
    <x:row r="40">
      <x:c r="A40" t="str"/>
      <x:c r="B40" t="str"/>
      <x:c r="C40" t="str"/>
      <x:c r="D40" t="str"/>
      <x:c r="E40" t="str"/>
      <x:c r="F40" t="str"/>
      <x:c r="G40" t="str"/>
    </x:row>
  </x:sheetData>
  <x:mergeCells>
    <x:mergeCell ref="A1:G1"/>
  </x:mergeCells>
  <x:conditionalFormatting sqref="A4:G22">
    <x:cfRule type="expression" dxfId="7" priority="1">
      <x:formula>$C4="节点进行中"</x:formula>
    </x:cfRule>
    <x:cfRule type="expression" dxfId="8" priority="2">
      <x:formula>$C4="高频跟进"</x:formula>
    </x:cfRule>
    <x:cfRule type="expression" dxfId="9" priority="3">
      <x:formula>$C4="二次排查"</x:formula>
    </x:cfRule>
    <x:cfRule type="expression" dxfId="10" priority="4">
      <x:formula>$C4="一次排查"</x:formula>
    </x:cfRule>
  </x:conditionalFormatting>
  <x:conditionalFormatting sqref="A4:G26">
    <x:cfRule type="expression" dxfId="23" priority="5">
      <x:formula>$C4="节点进行中"</x:formula>
    </x:cfRule>
    <x:cfRule type="expression" dxfId="24" priority="6">
      <x:formula>$C4="高频跟进"</x:formula>
    </x:cfRule>
    <x:cfRule type="expression" dxfId="25" priority="7">
      <x:formula>$C4="二次排查"</x:formula>
    </x:cfRule>
    <x:cfRule type="expression" dxfId="26" priority="8">
      <x:formula>$C4="一次排查"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c2c49360504d41"/>
  </x:tableParts>
</x:worksheet>
</file>