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5b8460f85f4e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节气整理" sheetId="1" r:id="Rb731ed607ab9458f"/>
    <x:sheet xmlns:r="http://schemas.openxmlformats.org/officeDocument/2006/relationships" name="来源与修正说明" sheetId="2" r:id="Rbb36e3fffcfd48e7"/>
    <x:sheet xmlns:r="http://schemas.openxmlformats.org/officeDocument/2006/relationships" name="排查节奏说明" sheetId="3" r:id="R06ac66f8a98541f6"/>
    <x:sheet xmlns:r="http://schemas.openxmlformats.org/officeDocument/2006/relationships" name="今日提醒" sheetId="4" r:id="R6a1a2cc134f74a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2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sz val="10"/>
      <x:name val="Carlito"/>
    </x:font>
    <x:font>
      <x:b/>
      <x:sz val="13"/>
      <x:color rgb="FFFFFF"/>
      <x:name val="Carlito"/>
    </x:font>
    <x:font>
      <x:b/>
      <x:sz val="14"/>
      <x:color rgb="FFFFFF"/>
      <x:name val="Carlito"/>
    </x:font>
    <x:font>
      <x:b/>
      <x:sz val="11"/>
      <x:color rgb="064E3B"/>
      <x:name val="Carlito"/>
    </x:font>
    <x:font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1F2937"/>
      <x:name val="Carlito"/>
    </x:font>
    <x:font>
      <x:b/>
      <x:sz val="11"/>
      <x:color rgb="92400E"/>
      <x:name val="Carlito"/>
    </x:font>
    <x:font>
      <x:sz val="10"/>
      <x:color rgb="111827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E2F0D9"/>
      </x:patternFill>
    </x:fill>
    <x:fill>
      <x:patternFill patternType="solid">
        <x:fgColor rgb="1F4E78"/>
      </x:patternFill>
    </x:fill>
    <x:fill>
      <x:patternFill patternType="solid">
        <x:fgColor rgb="7C2D12"/>
      </x:patternFill>
    </x:fill>
    <x:fill>
      <x:patternFill patternType="solid">
        <x:fgColor rgb="14532D"/>
      </x:patternFill>
    </x:fill>
    <x:fill>
      <x:patternFill patternType="solid">
        <x:fgColor rgb="ECFDF5"/>
      </x:patternFill>
    </x:fill>
    <x:fill>
      <x:patternFill patternType="solid">
        <x:fgColor rgb="166534"/>
      </x:patternFill>
    </x:fill>
    <x:fill>
      <x:patternFill patternType="solid">
        <x:fgColor rgb="FFFFFF"/>
      </x:patternFill>
    </x:fill>
    <x:fill>
      <x:patternFill patternType="solid">
        <x:fgColor rgb="1F4E78"/>
      </x:patternFill>
    </x:fill>
    <x:fill>
      <x:patternFill patternType="solid">
        <x:fgColor rgb="FCE4D6"/>
      </x:patternFill>
    </x:fill>
    <x:fill>
      <x:patternFill patternType="solid">
        <x:fgColor rgb="1F4E79"/>
      </x:patternFill>
    </x:fill>
    <x:fill>
      <x:patternFill patternType="solid">
        <x:fgColor rgb="0F172A"/>
      </x:patternFill>
    </x:fill>
    <x:fill>
      <x:patternFill patternType="solid">
        <x:fgColor rgb="D9EAF7"/>
      </x:patternFill>
    </x:fill>
    <x:fill>
      <x:patternFill patternType="solid">
        <x:fgColor rgb="FEF3C7"/>
      </x:patternFill>
    </x:fill>
    <x:fill>
      <x:patternFill patternType="solid">
        <x:fgColor rgb="FFFBEB"/>
      </x:patternFill>
    </x:fill>
  </x:fills>
  <x:borders count="2">
    <x:border/>
    <x:border/>
  </x:borders>
  <x:cellStyleXfs count="1">
    <x:xf numFmtId="0" fontId="0" fillId="0" borderId="0"/>
  </x:cellStyleXfs>
  <x:cellXfs count="1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201" fontId="1" fillId="2" borderId="0" xfId="0" applyNumberFormat="1" applyFont="1" applyFill="1" applyBorder="1" applyAlignment="1">
      <x:alignment horizontal="center" vertical="top" wrapText="1"/>
    </x:xf>
    <x:xf numFmtId="200" fontId="6" fillId="9" borderId="0" xfId="0" applyNumberFormat="1" applyFont="1" applyFill="1" applyBorder="1" applyAlignment="1">
      <x:alignment vertical="center"/>
    </x:xf>
    <x:xf numFmtId="201" fontId="6" fillId="9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/>
    <x:xf numFmtId="0" fontId="7" fillId="11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vertical="top" wrapText="1"/>
    </x:xf>
    <x:xf numFmtId="201" fontId="1" fillId="14" borderId="0" xfId="0" applyNumberFormat="1" applyFont="1" applyFill="1" applyBorder="1" applyAlignment="1">
      <x:alignment horizontal="center" vertical="top" wrapText="1"/>
    </x:xf>
    <x:xf numFmtId="0" fontId="7" fillId="14" borderId="0" xfId="0" applyNumberFormat="1" applyFont="1" applyFill="1" applyBorder="1"/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201" fontId="1" fillId="14" borderId="0" xfId="0" applyNumberFormat="1" applyFont="1" applyFill="1" applyBorder="1" applyAlignment="1">
      <x:alignment horizontal="center" vertical="center" wrapText="1"/>
    </x:xf>
    <x:xf numFmtId="0" fontId="7" fillId="11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7" fillId="15" borderId="0" xfId="0" applyNumberFormat="1" applyFont="1" applyFill="1" applyBorder="1"/>
    <x:xf numFmtId="0" fontId="0" fillId="15" borderId="0" xfId="0" applyNumberFormat="1" applyFont="1" applyFill="1" applyBorder="1"/>
    <x:xf numFmtId="0" fontId="8" fillId="15" borderId="0" xfId="0" applyNumberFormat="1" applyFont="1" applyFill="1" applyBorder="1" applyAlignment="1">
      <x:alignment horizontal="center" vertical="center" wrapText="1"/>
    </x:xf>
    <x:xf numFmtId="0" fontId="8" fillId="15" borderId="0" xfId="0" applyNumberFormat="1" applyFont="1" applyFill="1" applyBorder="1"/>
    <x:xf numFmtId="0" fontId="8" fillId="15" borderId="0" xfId="0" applyNumberFormat="1" applyFont="1" applyFill="1" applyBorder="1" applyAlignment="1">
      <x:alignment horizontal="center"/>
    </x:xf>
    <x:xf numFmtId="0" fontId="8" fillId="15" borderId="0" xfId="0" applyNumberFormat="1" applyFont="1" applyFill="1" applyBorder="1" applyAlignment="1">
      <x:alignment horizontal="center" vertical="center"/>
    </x:xf>
    <x:xf numFmtId="0" fontId="6" fillId="16" borderId="0" xfId="0" applyNumberFormat="1" applyFont="1" applyFill="1" applyBorder="1" applyAlignment="1">
      <x:alignment vertical="center"/>
    </x:xf>
    <x:xf numFmtId="200" fontId="6" fillId="16" borderId="0" xfId="0" applyNumberFormat="1" applyFont="1" applyFill="1" applyBorder="1" applyAlignment="1">
      <x:alignment vertical="center"/>
    </x:xf>
    <x:xf numFmtId="201" fontId="6" fillId="16" borderId="0" xfId="0" applyNumberFormat="1" applyFont="1" applyFill="1" applyBorder="1" applyAlignment="1">
      <x:alignment vertical="center"/>
    </x:xf>
    <x:xf numFmtId="0" fontId="7" fillId="16" borderId="0" xfId="0" applyNumberFormat="1" applyFont="1" applyFill="1" applyBorder="1"/>
    <x:xf numFmtId="0" fontId="0" fillId="16" borderId="0" xfId="0" applyNumberFormat="1" applyFont="1" applyFill="1" applyBorder="1"/>
    <x:xf numFmtId="0" fontId="9" fillId="16" borderId="0" xfId="0" applyNumberFormat="1" applyFont="1" applyFill="1" applyBorder="1" applyAlignment="1">
      <x:alignment vertical="center"/>
    </x:xf>
    <x:xf numFmtId="200" fontId="9" fillId="16" borderId="0" xfId="0" applyNumberFormat="1" applyFont="1" applyFill="1" applyBorder="1" applyAlignment="1">
      <x:alignment vertical="center"/>
    </x:xf>
    <x:xf numFmtId="201" fontId="9" fillId="16" borderId="0" xfId="0" applyNumberFormat="1" applyFont="1" applyFill="1" applyBorder="1" applyAlignment="1">
      <x:alignment vertical="center"/>
    </x:xf>
    <x:xf numFmtId="0" fontId="9" fillId="16" borderId="0" xfId="0" applyNumberFormat="1" applyFont="1" applyFill="1" applyBorder="1"/>
    <x:xf numFmtId="0" fontId="9" fillId="16" borderId="0" xfId="0" applyNumberFormat="1" applyFont="1" applyFill="1" applyBorder="1" applyAlignment="1">
      <x:alignment vertical="center" wrapText="1"/>
    </x:xf>
    <x:xf numFmtId="200" fontId="9" fillId="16" borderId="0" xfId="0" applyNumberFormat="1" applyFont="1" applyFill="1" applyBorder="1" applyAlignment="1">
      <x:alignment vertical="center" wrapText="1"/>
    </x:xf>
    <x:xf numFmtId="201" fontId="9" fillId="16" borderId="0" xfId="0" applyNumberFormat="1" applyFont="1" applyFill="1" applyBorder="1" applyAlignment="1">
      <x:alignment vertical="center" wrapText="1"/>
    </x:xf>
    <x:xf numFmtId="0" fontId="9" fillId="16" borderId="0" xfId="0" applyNumberFormat="1" applyFont="1" applyFill="1" applyBorder="1" applyAlignment="1">
      <x:alignment wrapText="1"/>
    </x:xf>
    <x:xf numFmtId="0" fontId="9" fillId="16" borderId="0" xfId="0" applyNumberFormat="1" applyFont="1" applyFill="1" applyBorder="1" applyAlignment="1">
      <x:alignment horizontal="center" vertical="center" wrapText="1"/>
    </x:xf>
    <x:xf numFmtId="200" fontId="9" fillId="16" borderId="0" xfId="0" applyNumberFormat="1" applyFont="1" applyFill="1" applyBorder="1" applyAlignment="1">
      <x:alignment horizontal="center" vertical="center" wrapText="1"/>
    </x:xf>
    <x:xf numFmtId="201" fontId="9" fillId="16" borderId="0" xfId="0" applyNumberFormat="1" applyFont="1" applyFill="1" applyBorder="1" applyAlignment="1">
      <x:alignment horizontal="center" vertical="center" wrapText="1"/>
    </x:xf>
    <x:xf numFmtId="0" fontId="9" fillId="16" borderId="0" xfId="0" applyNumberFormat="1" applyFont="1" applyFill="1" applyBorder="1" applyAlignment="1">
      <x:alignment horizontal="center" wrapText="1"/>
    </x:xf>
    <x:xf numFmtId="0" fontId="8" fillId="15" borderId="0" xfId="0" applyNumberFormat="1" applyFont="1" applyFill="1" applyBorder="1" applyAlignment="1">
      <x:alignment horizontal="center" vertical="top" wrapText="1"/>
    </x:xf>
    <x:xf numFmtId="0" fontId="9" fillId="16" borderId="0" xfId="0" applyNumberFormat="1" applyFont="1" applyFill="1" applyBorder="1" applyAlignment="1">
      <x:alignment horizontal="center" vertical="top" wrapText="1"/>
    </x:xf>
    <x:xf numFmtId="200" fontId="9" fillId="16" borderId="0" xfId="0" applyNumberFormat="1" applyFont="1" applyFill="1" applyBorder="1" applyAlignment="1">
      <x:alignment horizontal="center" vertical="top" wrapText="1"/>
    </x:xf>
    <x:xf numFmtId="201" fontId="9" fillId="16" borderId="0" xfId="0" applyNumberFormat="1" applyFont="1" applyFill="1" applyBorder="1" applyAlignment="1">
      <x:alignment horizontal="center" vertical="top" wrapText="1"/>
    </x:xf>
    <x:xf numFmtId="0" fontId="0" fillId="17" borderId="0" xfId="0" applyNumberFormat="1" applyFont="1" applyFill="1" applyBorder="1" applyAlignment="1">
      <x:alignment wrapText="1"/>
    </x:xf>
    <x:xf numFmtId="0" fontId="10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wrapText="1"/>
    </x:xf>
    <x:xf numFmtId="201" fontId="1" fillId="3" borderId="0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11" borderId="0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11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8">
    <x:dxf>
      <x:fill>
        <x:patternFill>
          <x:bgColor rgb="FFF2CC"/>
        </x:patternFill>
      </x:fill>
    </x:dxf>
    <x:dxf>
      <x:fill>
        <x:patternFill>
          <x:bgColor rgb="FCE4D6"/>
        </x:patternFill>
      </x:fill>
    </x:dxf>
    <x:dxf>
      <x:fill>
        <x:patternFill>
          <x:bgColor rgb="E2F0D9"/>
        </x:patternFill>
      </x:fill>
    </x:dxf>
    <x:dxf>
      <x:fill>
        <x:patternFill>
          <x:bgColor rgb="DCFCE7"/>
        </x:patternFill>
      </x:fill>
    </x:dxf>
    <x:dxf>
      <x:fill>
        <x:patternFill>
          <x:bgColor rgb="DBEAFE"/>
        </x:patternFill>
      </x:fill>
    </x:dxf>
    <x:dxf>
      <x:fill>
        <x:patternFill>
          <x:bgColor rgb="FEF3C7"/>
        </x:patternFill>
      </x:fill>
    </x:dxf>
    <x:dxf>
      <x:font>
        <x:b/>
      </x:font>
      <x:fill>
        <x:patternFill>
          <x:bgColor rgb="FECACA"/>
        </x:patternFill>
      </x:fill>
    </x:dxf>
    <x:dxf>
      <x:font>
        <x:b/>
      </x:font>
      <x:fill>
        <x:patternFill>
          <x:bgColor rgb="FECACA"/>
        </x:patternFill>
      </x:fill>
    </x:dxf>
    <x:dxf>
      <x:fill>
        <x:patternFill>
          <x:bgColor rgb="FEF3C7"/>
        </x:patternFill>
      </x:fill>
    </x:dxf>
    <x:dxf>
      <x:fill>
        <x:patternFill>
          <x:bgColor rgb="DBEAFE"/>
        </x:patternFill>
      </x:fill>
    </x:dxf>
    <x:dxf>
      <x:fill>
        <x:patternFill>
          <x:bgColor rgb="DCFCE7"/>
        </x:patternFill>
      </x:fill>
    </x:dxf>
    <x:dxf>
      <x:fill>
        <x:patternFill>
          <x:bgColor rgb="DCFCE7"/>
        </x:patternFill>
      </x:fill>
    </x:dxf>
    <x:dxf>
      <x:fill>
        <x:patternFill>
          <x:bgColor rgb="DBEAFE"/>
        </x:patternFill>
      </x:fill>
    </x:dxf>
    <x:dxf>
      <x:fill>
        <x:patternFill>
          <x:bgColor rgb="FEF3C7"/>
        </x:patternFill>
      </x:fill>
    </x:dxf>
    <x:dxf>
      <x:font>
        <x:b/>
      </x:font>
      <x:fill>
        <x:patternFill>
          <x:bgColor rgb="FECACA"/>
        </x:patternFill>
      </x:fill>
    </x:dxf>
    <x:dxf>
      <x:font>
        <x:b/>
      </x:font>
      <x:fill>
        <x:patternFill>
          <x:bgColor rgb="FECACA"/>
        </x:patternFill>
      </x:fill>
    </x:dxf>
    <x:dxf>
      <x:fill>
        <x:patternFill>
          <x:bgColor rgb="FEF3C7"/>
        </x:patternFill>
      </x:fill>
    </x:dxf>
    <x:dxf>
      <x:fill>
        <x:patternFill>
          <x:bgColor rgb="DBEAFE"/>
        </x:patternFill>
      </x:fill>
    </x:dxf>
    <x:dxf>
      <x:fill>
        <x:patternFill>
          <x:bgColor rgb="DCFCE7"/>
        </x:patternFill>
      </x:fill>
    </x:dxf>
    <x:dxf>
      <x:fill>
        <x:patternFill>
          <x:bgColor rgb="DCFCE7"/>
        </x:patternFill>
      </x:fill>
    </x:dxf>
    <x:dxf>
      <x:fill>
        <x:patternFill>
          <x:bgColor rgb="DBEAFE"/>
        </x:patternFill>
      </x:fill>
    </x:dxf>
    <x:dxf>
      <x:fill>
        <x:patternFill>
          <x:bgColor rgb="FEF3C7"/>
        </x:patternFill>
      </x:fill>
    </x:dxf>
    <x:dxf>
      <x:font>
        <x:b/>
      </x:font>
      <x:fill>
        <x:patternFill>
          <x:bgColor rgb="FECACA"/>
        </x:patternFill>
      </x:fill>
    </x:dxf>
    <x:dxf>
      <x:font>
        <x:b/>
      </x:font>
      <x:fill>
        <x:patternFill>
          <x:bgColor rgb="FECACA"/>
        </x:patternFill>
      </x:fill>
    </x:dxf>
    <x:dxf>
      <x:fill>
        <x:patternFill>
          <x:bgColor rgb="FEF3C7"/>
        </x:patternFill>
      </x:fill>
    </x:dxf>
    <x:dxf>
      <x:fill>
        <x:patternFill>
          <x:bgColor rgb="DBEAFE"/>
        </x:patternFill>
      </x:fill>
    </x:dxf>
    <x:dxf>
      <x:fill>
        <x:patternFill>
          <x:bgColor rgb="DCFCE7"/>
        </x:patternFill>
      </x:fill>
    </x:dxf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92400E"/>
      </x:font>
      <x:fill>
        <x:patternFill>
          <x:bgColor rgb="FEF3C7"/>
        </x:patternFill>
      </x:fill>
    </x:dxf>
    <x:dxf>
      <x:font>
        <x:b/>
        <x:color rgb="1E40AF"/>
      </x:font>
      <x:fill>
        <x:patternFill>
          <x:bgColor rgb="DBEAFE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ill>
        <x:patternFill>
          <x:bgColor rgb="FCE4D6"/>
        </x:patternFill>
      </x:fill>
    </x:dxf>
    <x:dxf>
      <x:font>
        <x:b/>
        <x:color rgb="9D174D"/>
      </x:font>
      <x:fill>
        <x:patternFill>
          <x:bgColor rgb="FCE7F3"/>
        </x:patternFill>
      </x:fill>
    </x:dxf>
    <x:dxf>
      <x:font>
        <x:b/>
        <x:color rgb="9A3412"/>
      </x:font>
      <x:fill>
        <x:patternFill>
          <x:bgColor rgb="FFEDD5"/>
        </x:patternFill>
      </x:fill>
    </x:dxf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854D0E"/>
      </x:font>
      <x:fill>
        <x:patternFill>
          <x:bgColor rgb="FEF9C3"/>
        </x:patternFill>
      </x:fill>
    </x:dxf>
    <x:dxf>
      <x:font>
        <x:b/>
        <x:color rgb="9A3412"/>
      </x:font>
      <x:fill>
        <x:patternFill>
          <x:bgColor rgb="FED7AA"/>
        </x:patternFill>
      </x:fill>
    </x:dxf>
    <x:dxf>
      <x:font>
        <x:b/>
        <x:color rgb="1D4ED8"/>
      </x:font>
      <x:fill>
        <x:patternFill>
          <x:bgColor rgb="DBEAFE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D174D"/>
      </x:font>
      <x:fill>
        <x:patternFill>
          <x:bgColor rgb="FCE7F3"/>
        </x:patternFill>
      </x:fill>
    </x:dxf>
    <x:dxf>
      <x:font>
        <x:b/>
        <x:color rgb="9A3412"/>
      </x:font>
      <x:fill>
        <x:patternFill>
          <x:bgColor rgb="FFEDD5"/>
        </x:patternFill>
      </x:fill>
    </x:dxf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854D0E"/>
      </x:font>
      <x:fill>
        <x:patternFill>
          <x:bgColor rgb="FEF9C3"/>
        </x:patternFill>
      </x:fill>
    </x:dxf>
    <x:dxf>
      <x:font>
        <x:b/>
        <x:color rgb="9A3412"/>
      </x:font>
      <x:fill>
        <x:patternFill>
          <x:bgColor rgb="FED7AA"/>
        </x:patternFill>
      </x:fill>
    </x:dxf>
    <x:dxf>
      <x:font>
        <x:b/>
        <x:color rgb="1D4ED8"/>
      </x:font>
      <x:fill>
        <x:patternFill>
          <x:bgColor rgb="DBEAFE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D174D"/>
      </x:font>
      <x:fill>
        <x:patternFill>
          <x:bgColor rgb="FCE7F3"/>
        </x:patternFill>
      </x:fill>
    </x:dxf>
    <x:dxf>
      <x:font>
        <x:b/>
        <x:color rgb="9A3412"/>
      </x:font>
      <x:fill>
        <x:patternFill>
          <x:bgColor rgb="FFEDD5"/>
        </x:patternFill>
      </x:fill>
    </x:dxf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854D0E"/>
      </x:font>
      <x:fill>
        <x:patternFill>
          <x:bgColor rgb="FEF9C3"/>
        </x:patternFill>
      </x:fill>
    </x:dxf>
    <x:dxf>
      <x:font>
        <x:b/>
        <x:color rgb="9A3412"/>
      </x:font>
      <x:fill>
        <x:patternFill>
          <x:bgColor rgb="FED7AA"/>
        </x:patternFill>
      </x:fill>
    </x:dxf>
    <x:dxf>
      <x:font>
        <x:b/>
        <x:color rgb="1D4ED8"/>
      </x:font>
      <x:fill>
        <x:patternFill>
          <x:bgColor rgb="DBEAFE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D174D"/>
      </x:font>
      <x:fill>
        <x:patternFill>
          <x:bgColor rgb="FCE7F3"/>
        </x:patternFill>
      </x:fill>
    </x:dxf>
    <x:dxf>
      <x:font>
        <x:b/>
        <x:color rgb="9A3412"/>
      </x:font>
      <x:fill>
        <x:patternFill>
          <x:bgColor rgb="FFEDD5"/>
        </x:patternFill>
      </x:fill>
    </x:dxf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854D0E"/>
      </x:font>
      <x:fill>
        <x:patternFill>
          <x:bgColor rgb="FEF9C3"/>
        </x:patternFill>
      </x:fill>
    </x:dxf>
    <x:dxf>
      <x:font>
        <x:b/>
        <x:color rgb="9A3412"/>
      </x:font>
      <x:fill>
        <x:patternFill>
          <x:bgColor rgb="FED7AA"/>
        </x:patternFill>
      </x:fill>
    </x:dxf>
    <x:dxf>
      <x:font>
        <x:b/>
        <x:color rgb="1D4ED8"/>
      </x:font>
      <x:fill>
        <x:patternFill>
          <x:bgColor rgb="DBEAFE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D174D"/>
      </x:font>
      <x:fill>
        <x:patternFill>
          <x:bgColor rgb="FCE7F3"/>
        </x:patternFill>
      </x:fill>
    </x:dxf>
    <x:dxf>
      <x:font>
        <x:b/>
        <x:color rgb="9A3412"/>
      </x:font>
      <x:fill>
        <x:patternFill>
          <x:bgColor rgb="FFEDD5"/>
        </x:patternFill>
      </x:fill>
    </x:dxf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854D0E"/>
      </x:font>
      <x:fill>
        <x:patternFill>
          <x:bgColor rgb="FEF9C3"/>
        </x:patternFill>
      </x:fill>
    </x:dxf>
    <x:dxf>
      <x:font>
        <x:b/>
        <x:color rgb="9A3412"/>
      </x:font>
      <x:fill>
        <x:patternFill>
          <x:bgColor rgb="FED7AA"/>
        </x:patternFill>
      </x:fill>
    </x:dxf>
    <x:dxf>
      <x:font>
        <x:b/>
        <x:color rgb="1D4ED8"/>
      </x:font>
      <x:fill>
        <x:patternFill>
          <x:bgColor rgb="DBEAFE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D174D"/>
      </x:font>
      <x:fill>
        <x:patternFill>
          <x:bgColor rgb="FCE7F3"/>
        </x:patternFill>
      </x:fill>
    </x:dxf>
    <x:dxf>
      <x:font>
        <x:b/>
        <x:color rgb="047857"/>
      </x:font>
      <x:fill>
        <x:patternFill>
          <x:bgColor rgb="ECFDF5"/>
        </x:patternFill>
      </x:fill>
    </x:dxf>
    <x:dxf>
      <x:font>
        <x:b/>
        <x:color rgb="9D174D"/>
      </x:font>
      <x:fill>
        <x:patternFill>
          <x:bgColor rgb="FCE7F3"/>
        </x:patternFill>
      </x:fill>
    </x:dxf>
    <x:dxf>
      <x:font>
        <x:b/>
        <x:color rgb="9A3412"/>
      </x:font>
      <x:fill>
        <x:patternFill>
          <x:bgColor rgb="FFEDD5"/>
        </x:patternFill>
      </x:fill>
    </x:dxf>
    <x:dxf>
      <x:font>
        <x:b/>
        <x:color rgb="991B1B"/>
      </x:font>
      <x:fill>
        <x:patternFill>
          <x:bgColor rgb="FEE2E2"/>
        </x:patternFill>
      </x:fill>
    </x:dxf>
    <x:dxf>
      <x:font>
        <x:b/>
        <x:color rgb="854D0E"/>
      </x:font>
      <x:fill>
        <x:patternFill>
          <x:bgColor rgb="FEF9C3"/>
        </x:patternFill>
      </x:fill>
    </x:dxf>
    <x:dxf>
      <x:font>
        <x:b/>
        <x:color rgb="9A3412"/>
      </x:font>
      <x:fill>
        <x:patternFill>
          <x:bgColor rgb="FED7AA"/>
        </x:patternFill>
      </x:fill>
    </x:dxf>
    <x:dxf>
      <x:font>
        <x:b/>
        <x:color rgb="1D4ED8"/>
      </x:font>
      <x:fill>
        <x:patternFill>
          <x:bgColor rgb="DBEAFE"/>
        </x:patternFill>
      </x:fill>
    </x:dxf>
    <x:dxf>
      <x:font>
        <x:b/>
        <x:color rgb="166534"/>
      </x:font>
      <x:fill>
        <x:patternFill>
          <x:bgColor rgb="DCFCE7"/>
        </x:patternFill>
      </x:fill>
    </x:dxf>
    <x:dxf>
      <x:font>
        <x:b/>
        <x:color rgb="9D174D"/>
      </x:font>
      <x:fill>
        <x:patternFill>
          <x:bgColor rgb="FCE7F3"/>
        </x:patternFill>
      </x:fill>
    </x:dxf>
    <x:dxf>
      <x:font>
        <x:b/>
        <x:color rgb="047857"/>
      </x:font>
      <x:fill>
        <x:patternFill>
          <x:bgColor rgb="ECFD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ec5e4639aa4625" /><Relationship Type="http://schemas.openxmlformats.org/officeDocument/2006/relationships/theme" Target="/xl/theme/theme1.xml" Id="Rb5b3331d75b648fb" /><Relationship Type="http://schemas.openxmlformats.org/officeDocument/2006/relationships/sharedStrings" Target="/xl/sharedStrings.xml" Id="R0f6a438b433745ad" /><Relationship Type="http://schemas.openxmlformats.org/officeDocument/2006/relationships/worksheet" Target="/xl/worksheets/sheet1.xml" Id="Rb731ed607ab9458f" /><Relationship Type="http://schemas.openxmlformats.org/officeDocument/2006/relationships/worksheet" Target="/xl/worksheets/sheet2.xml" Id="Rbb36e3fffcfd48e7" /><Relationship Type="http://schemas.openxmlformats.org/officeDocument/2006/relationships/worksheet" Target="/xl/worksheets/sheet3.xml" Id="R06ac66f8a98541f6" /><Relationship Type="http://schemas.openxmlformats.org/officeDocument/2006/relationships/worksheet" Target="/xl/worksheets/sheet4.xml" Id="R6a1a2cc134f74a09" /></Relationships>
</file>

<file path=xl/tables/table1.xml><?xml version="1.0" encoding="utf-8"?>
<x:table xmlns:x="http://schemas.openxmlformats.org/spreadsheetml/2006/main" id="3" name="HolidayCalendarTable" displayName="HolidayCalendarTable" ref="A1:T130" headerRowCount="1">
  <x:tableColumns count="20">
    <x:tableColumn id="1" name="节气名"/>
    <x:tableColumn id="2" name="中文翻译"/>
    <x:tableColumn id="3" name="一句话简介"/>
    <x:tableColumn id="4" name="时间（2026）"/>
    <x:tableColumn id="5" name="日期属性/备注"/>
    <x:tableColumn id="6" name="对应产品方向"/>
    <x:tableColumn id="7" name="一次排查时间点（2026）"/>
    <x:tableColumn id="8" name="二次排查时间点（2026）"/>
    <x:tableColumn id="9" name="高频跟进时间点（2026）"/>
    <x:tableColumn id="10" name="今日状态（自动）"/>
    <x:tableColumn id="11" name="今天动作提示（自动）"/>
    <x:tableColumn id="12" name="节点开始"/>
    <x:tableColumn id="13" name="节点结束"/>
    <x:tableColumn id="14" name="一次开始"/>
    <x:tableColumn id="15" name="一次结束"/>
    <x:tableColumn id="16" name="二次开始"/>
    <x:tableColumn id="17" name="二次结束"/>
    <x:tableColumn id="18" name="高频开始"/>
    <x:tableColumn id="19" name="高频结束"/>
    <x:tableColumn id="20" name="距节点开始天数"/>
  </x:tableColumns>
  <x:tableStyleInfo name="TableStyleMedium2" showRowStripes="1"/>
</x:table>
</file>

<file path=xl/tables/table2.xml><?xml version="1.0" encoding="utf-8"?>
<x:table xmlns:x="http://schemas.openxmlformats.org/spreadsheetml/2006/main" id="2" name="SourceNotesTable" displayName="SourceNotesTable" ref="A1:B50" headerRowCount="1">
  <x:tableColumns count="2">
    <x:tableColumn id="1" name="说明"/>
    <x:tableColumn id="2" name="来源/URL"/>
  </x:tableColumns>
  <x:tableStyleInfo name="TableStyleMedium2" showRowStripes="1"/>
</x:table>
</file>

<file path=xl/tables/table3.xml><?xml version="1.0" encoding="utf-8"?>
<x:table xmlns:x="http://schemas.openxmlformats.org/spreadsheetml/2006/main" id="4" name="TodayReminderTable" displayName="TodayReminderTable" ref="A3:G26" headerRowCount="1">
  <x:tableColumns count="7">
    <x:tableColumn id="1" name="节气名"/>
    <x:tableColumn id="2" name="中文翻译"/>
    <x:tableColumn id="3" name="今日状态"/>
    <x:tableColumn id="4" name="时间（2026）"/>
    <x:tableColumn id="5" name="对应产品方向"/>
    <x:tableColumn id="6" name="今天动作提示"/>
    <x:tableColumn id="7" name="高频跟进时间点（2026）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2c3b3e92f640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8e171d68a54c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6530819303412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38" hidden="0" customWidth="1"/>
    <x:col min="4" max="4" width="22" hidden="0" customWidth="1"/>
    <x:col min="5" max="5" width="22" hidden="0" customWidth="1"/>
    <x:col min="6" max="6" width="38" hidden="0" customWidth="1"/>
    <x:col min="7" max="7" width="36" hidden="0" customWidth="1"/>
    <x:col min="8" max="8" width="36" hidden="0" customWidth="1"/>
    <x:col min="9" max="9" width="36" hidden="0" customWidth="1"/>
    <x:col min="10" max="10" width="16" hidden="0" customWidth="1"/>
    <x:col min="11" max="11" width="5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4" hidden="0" customWidth="1"/>
    <x:col min="21" max="21" width="16" hidden="0" customWidth="1"/>
    <x:col min="22" max="22" width="16" hidden="0" customWidth="1"/>
    <x:col min="23" max="23" width="22" hidden="0" customWidth="1"/>
    <x:col min="24" max="24" width="38" hidden="0" customWidth="1"/>
  </x:cols>
  <x:sheetData>
    <x:row r="1" ht="36" hidden="0" customHeight="1">
      <x:c r="A1" s="65" t="str">
        <x:v>节气名</x:v>
      </x:c>
      <x:c r="B1" s="65" t="str">
        <x:v>中文翻译</x:v>
      </x:c>
      <x:c r="C1" s="65" t="str">
        <x:v>一句话简介</x:v>
      </x:c>
      <x:c r="D1" s="65" t="str">
        <x:v>时间（2026）</x:v>
      </x:c>
      <x:c r="E1" s="65" t="str">
        <x:v>日期属性/备注</x:v>
      </x:c>
      <x:c r="F1" s="65" t="str">
        <x:v>对应产品方向</x:v>
      </x:c>
      <x:c r="G1" s="65" t="str">
        <x:v>一次排查时间点（2026）</x:v>
      </x:c>
      <x:c r="H1" s="65" t="str">
        <x:v>二次排查时间点（2026）</x:v>
      </x:c>
      <x:c r="I1" s="65" t="str">
        <x:v>高频跟进时间点（2026）</x:v>
      </x:c>
      <x:c r="J1" s="65" t="str">
        <x:v>今日状态（自动）</x:v>
      </x:c>
      <x:c r="K1" s="65" t="str">
        <x:v>今天动作提示（自动）</x:v>
      </x:c>
      <x:c r="L1" s="65" t="str">
        <x:v>节点开始</x:v>
      </x:c>
      <x:c r="M1" s="65" t="str">
        <x:v>节点结束</x:v>
      </x:c>
      <x:c r="N1" s="65" t="str">
        <x:v>一次开始</x:v>
      </x:c>
      <x:c r="O1" s="65" t="str">
        <x:v>一次结束</x:v>
      </x:c>
      <x:c r="P1" s="65" t="str">
        <x:v>二次开始</x:v>
      </x:c>
      <x:c r="Q1" s="65" t="str">
        <x:v>二次结束</x:v>
      </x:c>
      <x:c r="R1" s="65" t="str">
        <x:v>高频开始</x:v>
      </x:c>
      <x:c r="S1" s="65" t="str">
        <x:v>高频结束</x:v>
      </x:c>
      <x:c r="T1" s="66" t="str">
        <x:v>距节点开始天数</x:v>
      </x:c>
      <x:c r="U1" s="65" t="str">
        <x:v>提醒排序键（辅助）</x:v>
      </x:c>
      <x:c r="V1" s="65" t="str">
        <x:v>提醒类型（自动）</x:v>
      </x:c>
      <x:c r="W1" s="65" t="str">
        <x:v>运营动作方向（自动）</x:v>
      </x:c>
      <x:c r="X1" s="65" t="str">
        <x:v>尾期判断（自动）</x:v>
      </x:c>
    </x:row>
    <x:row r="2" ht="58" hidden="0" customHeight="1">
      <x:c r="A2" s="41" t="str">
        <x:v>Chinese New Year</x:v>
      </x:c>
      <x:c r="B2" s="41" t="str">
        <x:v>中国农历新年/春节</x:v>
      </x:c>
      <x:c r="C2" s="41" t="str">
        <x:v>华人及东亚文化的重要新年节点，适合家居装饰、礼品、红包、龙/生肖等主题。</x:v>
      </x:c>
      <x:c r="D2" s="41" t="str">
        <x:v>2026-02-17</x:v>
      </x:c>
      <x:c r="E2" s="41" t="str">
        <x:v>每年变动</x:v>
      </x:c>
      <x:c r="F2" s="41" t="str">
        <x:v>红包袋、生肖/新年挂饰、家居装饰、祝福卡、礼品袋</x:v>
      </x:c>
      <x:c r="G2" s="41" t="str">
        <x:v>2025-10-20 ~ 2025-11-19：先看历史销量、库存/FBA承接、是否需要改Listing。</x:v>
      </x:c>
      <x:c r="H2" s="41" t="str">
        <x:v>2025-12-19 ~ 2026-01-03：广告结构、关键词/ASIN、标题主图必须基本到位。</x:v>
      </x:c>
      <x:c r="I2" s="41" t="str">
        <x:v>2026-01-27 ~ 2026-02-20：头部SKU每日看，过后及时降投/清尾。</x:v>
      </x:c>
      <x:c r="J2" s="41" t="str">
        <x:f>IF(AND('今日提醒'!$B$2&gt;=$L2,'今日提醒'!$B$2&lt;=$M2,$L2=$M2),"节点当日",IF(AND('今日提醒'!$B$2&gt;=$L2,'今日提醒'!$B$2&lt;=$M2,'今日提醒'!$B$2&gt;$S2),"收尾下滑",IF(AND('今日提醒'!$B$2&gt;=$L2,'今日提醒'!$B$2&lt;=$M2),"节点进行中",IF(AND('今日提醒'!$B$2&gt;$M2,'今日提醒'!$B$2&lt;=$S2),"节后清尾",IF(AND('今日提醒'!$B$2&gt;=$R2,'今日提醒'!$B$2&lt;=$S2),"高频跟进",IF(AND('今日提醒'!$B$2&gt;=($R2-14),'今日提醒'!$B$2&lt;$R2,'今日提醒'!$B$2&lt;$L2),"临近高频",IF(AND(OR($A2="Chinese New Year",$A2="Super Bowl",$A2="Valentine's Day",$A2="Valentine Week",$A2="St. Patrick's Day",$A2="Easter",$A2="Graduation Season",$A2="Prom Season",$A2="Teacher Appreciation Week",$A2="Mother's Day",$A2="Memorial Day",$A2="Father's Day",$A2="Independence Day",$A2="Back-to-School Season",$A2="Labor Day",$A2="Halloween",$A2="Thanksgiving",$A2="Black Friday / Cyber Monday",$A2="Christmas",$A2="New Year's Eve / New Year Season"),'今日提醒'!$B$2&gt;=($R2-30),'今日提醒'!$B$2&lt;$R2,'今日提醒'!$B$2&lt;$L2),"大节气提前",IF(AND('今日提醒'!$B$2&gt;=$P2,'今日提醒'!$B$2&lt;=$Q2),"二次排查",IF(AND(OR($A2="Chinese New Year",$A2="Super Bowl",$A2="Valentine's Day",$A2="Valentine Week",$A2="St. Patrick's Day",$A2="Easter",$A2="Graduation Season",$A2="Prom Season",$A2="Teacher Appreciation Week",$A2="Mother's Day",$A2="Memorial Day",$A2="Father's Day",$A2="Independence Day",$A2="Back-to-School Season",$A2="Labor Day",$A2="Halloween",$A2="Thanksgiving",$A2="Black Friday / Cyber Monday",$A2="Christmas",$A2="New Year's Eve / New Year Season"),'今日提醒'!$B$2&gt;=($P2-14),'今日提醒'!$B$2&lt;$P2,'今日提醒'!$B$2&lt;$L2),"临近二次",IF(AND('今日提醒'!$B$2&gt;=$N2,'今日提醒'!$B$2&lt;=$O2),"一次排查",IF('今日提醒'!$B$2&lt;$N2,"未到排查",IF('今日提醒'!$B$2&lt;$L2,"等待下一窗口","已过"))))))))))))</x:f>
        <x:v>已过</x:v>
      </x:c>
      <x:c r="K2" s="41" t="str">
        <x:f>IF($J2="收尾下滑","主购买/高频窗口已过，流量可能走弱：不要盲目加预算或新建组；优先看库存压力、ACOS、广告占比、自然单，仅保留高转化词，计算清货/留仓。",IF($J2="节后清尾","节点已过但仍在清尾窗口：控低效词、降无效预算，复盘转化词；库存重则算清货，库存轻则吃完尾流。",IF($J2="节点当日","今天就是节点当日：优先看转化、库存承接、广告花费和尾流风险；可以吃最后一波有效流量，但不要再大范围新建或盲目加预算。",IF($J2="节点进行中","当前在节点/销售窗口内：这是进行中，不是预热；重点看销量、库存承接、广告花费、转化和是否已出现流量下滑。",IF($J2="高频跟进","今天在高频跟进窗口：头部SKU每日看；重点看高库存、高花费、断货风险和ACOS。",IF($J2="临近高频","高频窗口即将开始：今天先预查广告结构、关键词/ASIN、Listing埋词、库存承接和预算，避免临近节点再补。",IF($J2="大节气提前","大节气提前窗口：不要等高频当天再动；今天先锁定主推SKU、库存承接、Listing节日词、广告结构和预算上限，低相关/低库存产品不硬推。",IF($J2="二次排查","今天在二次排查窗口：补广告结构、关键词/ASIN、预算和Listing埋词。",IF($J2="临近二次","大节气二次排查即将开始：提前准备词/ASIN/图片/价格/促销，不等窗口当天才补结构。",IF($J2="一次排查","今天在一次排查窗口：先筛SKU，看历史动销、库存、利润和Listing匹配。",IF($J2="未到排查","暂不处理，等一次排查窗口。",IF($J2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2" s="42" t="n">
        <x:v>46070</x:v>
      </x:c>
      <x:c r="M2" s="42" t="n">
        <x:v>46070</x:v>
      </x:c>
      <x:c r="N2" s="42" t="n">
        <x:v>45950</x:v>
      </x:c>
      <x:c r="O2" s="42" t="n">
        <x:v>45980</x:v>
      </x:c>
      <x:c r="P2" s="42" t="n">
        <x:v>46010</x:v>
      </x:c>
      <x:c r="Q2" s="42" t="n">
        <x:v>46025</x:v>
      </x:c>
      <x:c r="R2" s="42" t="n">
        <x:v>46049</x:v>
      </x:c>
      <x:c r="S2" s="42" t="n">
        <x:v>46073</x:v>
      </x:c>
      <x:c r="T2" s="43" t="n">
        <x:f>$L2-'今日提醒'!$B$2</x:f>
        <x:v>-97</x:v>
      </x:c>
      <x:c r="U2" s="74" t="n">
        <x:f>IF(OR($J2="收尾下滑",$J2="节后清尾",$J2="节点当日",$J2="节点进行中",$J2="高频跟进",$J2="临近高频",$J2="大节气提前",$J2="二次排查",$J2="临近二次",$J2="一次排查"),IF($J2="收尾下滑",1,IF($J2="节后清尾",2,IF($J2="节点当日",3,IF($J2="节点进行中",4,IF($J2="高频跟进",5,IF($J2="临近高频",6,IF($J2="大节气提前",7,IF($J2="二次排查",8,IF($J2="临近二次",9,10)))))))))*100000+ROW(),99999999+ROW())</x:f>
        <x:v>100000001</x:v>
      </x:c>
      <x:c r="V2" s="15" t="str">
        <x:f>IF(OR($J2="收尾下滑",$J2="节后清尾"),"风险/止损",IF($J2="节点当日","机会/当日冲刺",IF($J2="节点进行中","机会/进行中",IF($J2="高频跟进","机会/高频",IF($J2="大节气提前","机会/大节气提前",IF(OR($J2="临近高频",$J2="临近二次",$J2="二次排查",$J2="一次排查"),"机会/预热","非今日"))))))</x:f>
        <x:v>非今日</x:v>
      </x:c>
      <x:c r="W2" s="15" t="str">
        <x:f>IF($J2="收尾下滑","控投/清尾/算留仓",IF($J2="节后清尾","节后降投/复盘",IF($J2="节点当日","当日冲刺/控尾流",IF($J2="节点进行中","转化监控/看趋势",IF($J2="高频跟进","放量+控ACOS",IF($J2="大节气提前","提前锁结构/预算",IF($J2="临近高频","预查结构/埋词",IF($J2="临近二次","提前补结构/埋词",IF($J2="二次排查","补结构/补词",IF($J2="一次排查","筛SKU/核库存","暂无"))))))))))</x:f>
        <x:v>暂无</x:v>
      </x:c>
      <x:c r="X2" s="15" t="str">
        <x:f>IF(AND('今日提醒'!$B$2&gt;=$L2,'今日提醒'!$B$2&lt;=$M2,$L2=$M2),"节点当日：不是预热",IF(AND('今日提醒'!$B$2&gt;=$L2,'今日提醒'!$B$2&lt;=$M2,'今日提醒'!$B$2&gt;$S2),"高频已结束但销售窗口未结束：疑似尾期/下滑",IF(AND('今日提醒'!$B$2&gt;$M2,'今日提醒'!$B$2&lt;=$S2),"节点已过但仍在清尾窗口",IF($J2="大节气提前","大节气高频前30天：提前进入主推准备",IF($J2="临近二次","大节气二次排查前14天：提前准备","")))))</x:f>
      </x:c>
    </x:row>
    <x:row r="3" ht="58" hidden="0" customHeight="1">
      <x:c r="A3" s="41" t="str">
        <x:v>College Back-to-School Season</x:v>
      </x:c>
      <x:c r="B3" s="41" t="str">
        <x:v>高校春季开学季</x:v>
      </x:c>
      <x:c r="C3" s="41" t="str">
        <x:v>大学/宿舍/学习用品需求回升的窗口，适合收纳、文具、宿舍装饰等。</x:v>
      </x:c>
      <x:c r="D3" s="41" t="str">
        <x:v>2026-01-15 ~ 2026-02-15</x:v>
      </x:c>
      <x:c r="E3" s="41" t="str">
        <x:v>区间变动：按学校校历，取常用销售窗口</x:v>
      </x:c>
      <x:c r="F3" s="41" t="str">
        <x:v>文具、书签、收纳、宿舍装饰、老师/学生礼、课堂用品</x:v>
      </x:c>
      <x:c r="G3" s="41" t="str">
        <x:v>2025-10-17 ~ 2025-10-31：看历史动销起点、库存承接、Listing是否匹配。</x:v>
      </x:c>
      <x:c r="H3" s="41" t="str">
        <x:v>2025-12-01 ~ 2025-12-15：完成关键词/ASIN/主图标题检查，低预算轻测。</x:v>
      </x:c>
      <x:c r="I3" s="41" t="str">
        <x:v>2026-01-01 ~ 2026-01-30：头部SKU每日看，普通SKU每周2次。</x:v>
      </x:c>
      <x:c r="J3" s="41" t="str">
        <x:f>IF(AND('今日提醒'!$B$2&gt;=$L3,'今日提醒'!$B$2&lt;=$M3,$L3=$M3),"节点当日",IF(AND('今日提醒'!$B$2&gt;=$L3,'今日提醒'!$B$2&lt;=$M3,'今日提醒'!$B$2&gt;$S3),"收尾下滑",IF(AND('今日提醒'!$B$2&gt;=$L3,'今日提醒'!$B$2&lt;=$M3),"节点进行中",IF(AND('今日提醒'!$B$2&gt;$M3,'今日提醒'!$B$2&lt;=$S3),"节后清尾",IF(AND('今日提醒'!$B$2&gt;=$R3,'今日提醒'!$B$2&lt;=$S3),"高频跟进",IF(AND('今日提醒'!$B$2&gt;=($R3-14),'今日提醒'!$B$2&lt;$R3,'今日提醒'!$B$2&lt;$L3),"临近高频",IF(AND(OR($A3="Chinese New Year",$A3="Super Bowl",$A3="Valentine's Day",$A3="Valentine Week",$A3="St. Patrick's Day",$A3="Easter",$A3="Graduation Season",$A3="Prom Season",$A3="Teacher Appreciation Week",$A3="Mother's Day",$A3="Memorial Day",$A3="Father's Day",$A3="Independence Day",$A3="Back-to-School Season",$A3="Labor Day",$A3="Halloween",$A3="Thanksgiving",$A3="Black Friday / Cyber Monday",$A3="Christmas",$A3="New Year's Eve / New Year Season"),'今日提醒'!$B$2&gt;=($R3-30),'今日提醒'!$B$2&lt;$R3,'今日提醒'!$B$2&lt;$L3),"大节气提前",IF(AND('今日提醒'!$B$2&gt;=$P3,'今日提醒'!$B$2&lt;=$Q3),"二次排查",IF(AND(OR($A3="Chinese New Year",$A3="Super Bowl",$A3="Valentine's Day",$A3="Valentine Week",$A3="St. Patrick's Day",$A3="Easter",$A3="Graduation Season",$A3="Prom Season",$A3="Teacher Appreciation Week",$A3="Mother's Day",$A3="Memorial Day",$A3="Father's Day",$A3="Independence Day",$A3="Back-to-School Season",$A3="Labor Day",$A3="Halloween",$A3="Thanksgiving",$A3="Black Friday / Cyber Monday",$A3="Christmas",$A3="New Year's Eve / New Year Season"),'今日提醒'!$B$2&gt;=($P3-14),'今日提醒'!$B$2&lt;$P3,'今日提醒'!$B$2&lt;$L3),"临近二次",IF(AND('今日提醒'!$B$2&gt;=$N3,'今日提醒'!$B$2&lt;=$O3),"一次排查",IF('今日提醒'!$B$2&lt;$N3,"未到排查",IF('今日提醒'!$B$2&lt;$L3,"等待下一窗口","已过"))))))))))))</x:f>
        <x:v>已过</x:v>
      </x:c>
      <x:c r="K3" s="41" t="str">
        <x:f>IF($J3="收尾下滑","主购买/高频窗口已过，流量可能走弱：不要盲目加预算或新建组；优先看库存压力、ACOS、广告占比、自然单，仅保留高转化词，计算清货/留仓。",IF($J3="节后清尾","节点已过但仍在清尾窗口：控低效词、降无效预算，复盘转化词；库存重则算清货，库存轻则吃完尾流。",IF($J3="节点当日","今天就是节点当日：优先看转化、库存承接、广告花费和尾流风险；可以吃最后一波有效流量，但不要再大范围新建或盲目加预算。",IF($J3="节点进行中","当前在节点/销售窗口内：这是进行中，不是预热；重点看销量、库存承接、广告花费、转化和是否已出现流量下滑。",IF($J3="高频跟进","今天在高频跟进窗口：头部SKU每日看；重点看高库存、高花费、断货风险和ACOS。",IF($J3="临近高频","高频窗口即将开始：今天先预查广告结构、关键词/ASIN、Listing埋词、库存承接和预算，避免临近节点再补。",IF($J3="大节气提前","大节气提前窗口：不要等高频当天再动；今天先锁定主推SKU、库存承接、Listing节日词、广告结构和预算上限，低相关/低库存产品不硬推。",IF($J3="二次排查","今天在二次排查窗口：补广告结构、关键词/ASIN、预算和Listing埋词。",IF($J3="临近二次","大节气二次排查即将开始：提前准备词/ASIN/图片/价格/促销，不等窗口当天才补结构。",IF($J3="一次排查","今天在一次排查窗口：先筛SKU，看历史动销、库存、利润和Listing匹配。",IF($J3="未到排查","暂不处理，等一次排查窗口。",IF($J3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3" s="42" t="n">
        <x:v>46037</x:v>
      </x:c>
      <x:c r="M3" s="42" t="n">
        <x:v>46068</x:v>
      </x:c>
      <x:c r="N3" s="42" t="n">
        <x:v>45947</x:v>
      </x:c>
      <x:c r="O3" s="42" t="n">
        <x:v>45961</x:v>
      </x:c>
      <x:c r="P3" s="42" t="n">
        <x:v>45992</x:v>
      </x:c>
      <x:c r="Q3" s="42" t="n">
        <x:v>46006</x:v>
      </x:c>
      <x:c r="R3" s="42" t="n">
        <x:v>46023</x:v>
      </x:c>
      <x:c r="S3" s="42" t="n">
        <x:v>46052</x:v>
      </x:c>
      <x:c r="T3" s="43" t="n">
        <x:f>$L3-'今日提醒'!$B$2</x:f>
        <x:v>-130</x:v>
      </x:c>
      <x:c r="U3" s="74" t="n">
        <x:f>IF(OR($J3="收尾下滑",$J3="节后清尾",$J3="节点当日",$J3="节点进行中",$J3="高频跟进",$J3="临近高频",$J3="大节气提前",$J3="二次排查",$J3="临近二次",$J3="一次排查"),IF($J3="收尾下滑",1,IF($J3="节后清尾",2,IF($J3="节点当日",3,IF($J3="节点进行中",4,IF($J3="高频跟进",5,IF($J3="临近高频",6,IF($J3="大节气提前",7,IF($J3="二次排查",8,IF($J3="临近二次",9,10)))))))))*100000+ROW(),99999999+ROW())</x:f>
        <x:v>100000002</x:v>
      </x:c>
      <x:c r="V3" s="15" t="str">
        <x:f>IF(OR($J3="收尾下滑",$J3="节后清尾"),"风险/止损",IF($J3="节点当日","机会/当日冲刺",IF($J3="节点进行中","机会/进行中",IF($J3="高频跟进","机会/高频",IF($J3="大节气提前","机会/大节气提前",IF(OR($J3="临近高频",$J3="临近二次",$J3="二次排查",$J3="一次排查"),"机会/预热","非今日"))))))</x:f>
        <x:v>非今日</x:v>
      </x:c>
      <x:c r="W3" s="15" t="str">
        <x:f>IF($J3="收尾下滑","控投/清尾/算留仓",IF($J3="节后清尾","节后降投/复盘",IF($J3="节点当日","当日冲刺/控尾流",IF($J3="节点进行中","转化监控/看趋势",IF($J3="高频跟进","放量+控ACOS",IF($J3="大节气提前","提前锁结构/预算",IF($J3="临近高频","预查结构/埋词",IF($J3="临近二次","提前补结构/埋词",IF($J3="二次排查","补结构/补词",IF($J3="一次排查","筛SKU/核库存","暂无"))))))))))</x:f>
        <x:v>暂无</x:v>
      </x:c>
      <x:c r="X3" s="15" t="str">
        <x:f>IF(AND('今日提醒'!$B$2&gt;=$L3,'今日提醒'!$B$2&lt;=$M3,$L3=$M3),"节点当日：不是预热",IF(AND('今日提醒'!$B$2&gt;=$L3,'今日提醒'!$B$2&lt;=$M3,'今日提醒'!$B$2&gt;$S3),"高频已结束但销售窗口未结束：疑似尾期/下滑",IF(AND('今日提醒'!$B$2&gt;$M3,'今日提醒'!$B$2&lt;=$S3),"节点已过但仍在清尾窗口",IF($J3="大节气提前","大节气高频前30天：提前进入主推准备",IF($J3="临近二次","大节气二次排查前14天：提前准备","")))))</x:f>
      </x:c>
    </x:row>
    <x:row r="4" ht="58" hidden="0" customHeight="1">
      <x:c r="A4" s="41" t="str">
        <x:v>Martin Luther King Jr. Day</x:v>
      </x:c>
      <x:c r="B4" s="41" t="str">
        <x:v>马丁·路德·金纪念日</x:v>
      </x:c>
      <x:c r="C4" s="41" t="str">
        <x:v>美国联邦假日，纪念民权运动领袖马丁·路德·金，适合平权、公益、教育类主题谨慎借势。</x:v>
      </x:c>
      <x:c r="D4" s="41" t="str">
        <x:v>2026-01-19</x:v>
      </x:c>
      <x:c r="E4" s="41" t="str">
        <x:v>每年变动</x:v>
      </x:c>
      <x:c r="F4" s="41" t="str">
        <x:v>平权/教育主题卡片、课堂材料、公益主题小礼；商业化要克制</x:v>
      </x:c>
      <x:c r="G4" s="41" t="str">
        <x:v>2025-10-21 ~ 2025-11-05：先确认产品真实匹配，避免硬蹭敏感议题。</x:v>
      </x:c>
      <x:c r="H4" s="41" t="str">
        <x:v>2025-12-05 ~ 2025-12-15：检查图片/文案/关键词是否克制且合规。</x:v>
      </x:c>
      <x:c r="I4" s="41" t="str">
        <x:v>2026-01-05 ~ 2026-01-19：每2-3天看；表现差或表达风险高就停。</x:v>
      </x:c>
      <x:c r="J4" s="41" t="str">
        <x:f>IF(AND('今日提醒'!$B$2&gt;=$L4,'今日提醒'!$B$2&lt;=$M4,$L4=$M4),"节点当日",IF(AND('今日提醒'!$B$2&gt;=$L4,'今日提醒'!$B$2&lt;=$M4,'今日提醒'!$B$2&gt;$S4),"收尾下滑",IF(AND('今日提醒'!$B$2&gt;=$L4,'今日提醒'!$B$2&lt;=$M4),"节点进行中",IF(AND('今日提醒'!$B$2&gt;$M4,'今日提醒'!$B$2&lt;=$S4),"节后清尾",IF(AND('今日提醒'!$B$2&gt;=$R4,'今日提醒'!$B$2&lt;=$S4),"高频跟进",IF(AND('今日提醒'!$B$2&gt;=($R4-14),'今日提醒'!$B$2&lt;$R4,'今日提醒'!$B$2&lt;$L4),"临近高频",IF(AND(OR($A4="Chinese New Year",$A4="Super Bowl",$A4="Valentine's Day",$A4="Valentine Week",$A4="St. Patrick's Day",$A4="Easter",$A4="Graduation Season",$A4="Prom Season",$A4="Teacher Appreciation Week",$A4="Mother's Day",$A4="Memorial Day",$A4="Father's Day",$A4="Independence Day",$A4="Back-to-School Season",$A4="Labor Day",$A4="Halloween",$A4="Thanksgiving",$A4="Black Friday / Cyber Monday",$A4="Christmas",$A4="New Year's Eve / New Year Season"),'今日提醒'!$B$2&gt;=($R4-30),'今日提醒'!$B$2&lt;$R4,'今日提醒'!$B$2&lt;$L4),"大节气提前",IF(AND('今日提醒'!$B$2&gt;=$P4,'今日提醒'!$B$2&lt;=$Q4),"二次排查",IF(AND(OR($A4="Chinese New Year",$A4="Super Bowl",$A4="Valentine's Day",$A4="Valentine Week",$A4="St. Patrick's Day",$A4="Easter",$A4="Graduation Season",$A4="Prom Season",$A4="Teacher Appreciation Week",$A4="Mother's Day",$A4="Memorial Day",$A4="Father's Day",$A4="Independence Day",$A4="Back-to-School Season",$A4="Labor Day",$A4="Halloween",$A4="Thanksgiving",$A4="Black Friday / Cyber Monday",$A4="Christmas",$A4="New Year's Eve / New Year Season"),'今日提醒'!$B$2&gt;=($P4-14),'今日提醒'!$B$2&lt;$P4,'今日提醒'!$B$2&lt;$L4),"临近二次",IF(AND('今日提醒'!$B$2&gt;=$N4,'今日提醒'!$B$2&lt;=$O4),"一次排查",IF('今日提醒'!$B$2&lt;$N4,"未到排查",IF('今日提醒'!$B$2&lt;$L4,"等待下一窗口","已过"))))))))))))</x:f>
        <x:v>已过</x:v>
      </x:c>
      <x:c r="K4" s="41" t="str">
        <x:f>IF($J4="收尾下滑","主购买/高频窗口已过，流量可能走弱：不要盲目加预算或新建组；优先看库存压力、ACOS、广告占比、自然单，仅保留高转化词，计算清货/留仓。",IF($J4="节后清尾","节点已过但仍在清尾窗口：控低效词、降无效预算，复盘转化词；库存重则算清货，库存轻则吃完尾流。",IF($J4="节点当日","今天就是节点当日：优先看转化、库存承接、广告花费和尾流风险；可以吃最后一波有效流量，但不要再大范围新建或盲目加预算。",IF($J4="节点进行中","当前在节点/销售窗口内：这是进行中，不是预热；重点看销量、库存承接、广告花费、转化和是否已出现流量下滑。",IF($J4="高频跟进","今天在高频跟进窗口：头部SKU每日看；重点看高库存、高花费、断货风险和ACOS。",IF($J4="临近高频","高频窗口即将开始：今天先预查广告结构、关键词/ASIN、Listing埋词、库存承接和预算，避免临近节点再补。",IF($J4="大节气提前","大节气提前窗口：不要等高频当天再动；今天先锁定主推SKU、库存承接、Listing节日词、广告结构和预算上限，低相关/低库存产品不硬推。",IF($J4="二次排查","今天在二次排查窗口：补广告结构、关键词/ASIN、预算和Listing埋词。",IF($J4="临近二次","大节气二次排查即将开始：提前准备词/ASIN/图片/价格/促销，不等窗口当天才补结构。",IF($J4="一次排查","今天在一次排查窗口：先筛SKU，看历史动销、库存、利润和Listing匹配。",IF($J4="未到排查","暂不处理，等一次排查窗口。",IF($J4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4" s="42" t="n">
        <x:v>46041</x:v>
      </x:c>
      <x:c r="M4" s="42" t="n">
        <x:v>46041</x:v>
      </x:c>
      <x:c r="N4" s="42" t="n">
        <x:v>45951</x:v>
      </x:c>
      <x:c r="O4" s="42" t="n">
        <x:v>45966</x:v>
      </x:c>
      <x:c r="P4" s="42" t="n">
        <x:v>45996</x:v>
      </x:c>
      <x:c r="Q4" s="42" t="n">
        <x:v>46006</x:v>
      </x:c>
      <x:c r="R4" s="42" t="n">
        <x:v>46027</x:v>
      </x:c>
      <x:c r="S4" s="42" t="n">
        <x:v>46041</x:v>
      </x:c>
      <x:c r="T4" s="43" t="n">
        <x:f>$L4-'今日提醒'!$B$2</x:f>
        <x:v>-126</x:v>
      </x:c>
      <x:c r="U4" s="74" t="n">
        <x:f>IF(OR($J4="收尾下滑",$J4="节后清尾",$J4="节点当日",$J4="节点进行中",$J4="高频跟进",$J4="临近高频",$J4="大节气提前",$J4="二次排查",$J4="临近二次",$J4="一次排查"),IF($J4="收尾下滑",1,IF($J4="节后清尾",2,IF($J4="节点当日",3,IF($J4="节点进行中",4,IF($J4="高频跟进",5,IF($J4="临近高频",6,IF($J4="大节气提前",7,IF($J4="二次排查",8,IF($J4="临近二次",9,10)))))))))*100000+ROW(),99999999+ROW())</x:f>
        <x:v>100000003</x:v>
      </x:c>
      <x:c r="V4" s="15" t="str">
        <x:f>IF(OR($J4="收尾下滑",$J4="节后清尾"),"风险/止损",IF($J4="节点当日","机会/当日冲刺",IF($J4="节点进行中","机会/进行中",IF($J4="高频跟进","机会/高频",IF($J4="大节气提前","机会/大节气提前",IF(OR($J4="临近高频",$J4="临近二次",$J4="二次排查",$J4="一次排查"),"机会/预热","非今日"))))))</x:f>
        <x:v>非今日</x:v>
      </x:c>
      <x:c r="W4" s="15" t="str">
        <x:f>IF($J4="收尾下滑","控投/清尾/算留仓",IF($J4="节后清尾","节后降投/复盘",IF($J4="节点当日","当日冲刺/控尾流",IF($J4="节点进行中","转化监控/看趋势",IF($J4="高频跟进","放量+控ACOS",IF($J4="大节气提前","提前锁结构/预算",IF($J4="临近高频","预查结构/埋词",IF($J4="临近二次","提前补结构/埋词",IF($J4="二次排查","补结构/补词",IF($J4="一次排查","筛SKU/核库存","暂无"))))))))))</x:f>
        <x:v>暂无</x:v>
      </x:c>
      <x:c r="X4" s="15" t="str">
        <x:f>IF(AND('今日提醒'!$B$2&gt;=$L4,'今日提醒'!$B$2&lt;=$M4,$L4=$M4),"节点当日：不是预热",IF(AND('今日提醒'!$B$2&gt;=$L4,'今日提醒'!$B$2&lt;=$M4,'今日提醒'!$B$2&gt;$S4),"高频已结束但销售窗口未结束：疑似尾期/下滑",IF(AND('今日提醒'!$B$2&gt;$M4,'今日提醒'!$B$2&lt;=$S4),"节点已过但仍在清尾窗口",IF($J4="大节气提前","大节气高频前30天：提前进入主推准备",IF($J4="临近二次","大节气二次排查前14天：提前准备","")))))</x:f>
      </x:c>
    </x:row>
    <x:row r="5" ht="58" hidden="0" customHeight="1">
      <x:c r="A5" s="41" t="str">
        <x:v>Black History Month</x:v>
      </x:c>
      <x:c r="B5" s="41" t="str">
        <x:v>黑人历史月</x:v>
      </x:c>
      <x:c r="C5" s="41" t="str">
        <x:v>纪念和学习非裔美国人的历史、贡献与文化，适合教育、文化、平权主题内容，商业化表达要克制。</x:v>
      </x:c>
      <x:c r="D5" s="41" t="str">
        <x:v>2026-02-01 ~ 2026-02-28</x:v>
      </x:c>
      <x:c r="E5" s="41" t="str">
        <x:v>固定月份</x:v>
      </x:c>
      <x:c r="F5" s="41" t="str">
        <x:v>意识/支持类产品：丝带、手链、鼓励卡、贴纸；敏感节点商业化要克制</x:v>
      </x:c>
      <x:c r="G5" s="41" t="str">
        <x:v>2025-11-03 ~ 2025-11-18：先确认产品真实匹配，避免硬蹭敏感议题。</x:v>
      </x:c>
      <x:c r="H5" s="41" t="str">
        <x:v>2025-12-18 ~ 2025-12-28：检查图片/文案/关键词是否克制且合规。</x:v>
      </x:c>
      <x:c r="I5" s="41" t="str">
        <x:v>2026-01-18 ~ 2026-02-14：每2-3天看；表现差或表达风险高就停。</x:v>
      </x:c>
      <x:c r="J5" s="41" t="str">
        <x:f>IF(AND('今日提醒'!$B$2&gt;=$L5,'今日提醒'!$B$2&lt;=$M5,$L5=$M5),"节点当日",IF(AND('今日提醒'!$B$2&gt;=$L5,'今日提醒'!$B$2&lt;=$M5,'今日提醒'!$B$2&gt;$S5),"收尾下滑",IF(AND('今日提醒'!$B$2&gt;=$L5,'今日提醒'!$B$2&lt;=$M5),"节点进行中",IF(AND('今日提醒'!$B$2&gt;$M5,'今日提醒'!$B$2&lt;=$S5),"节后清尾",IF(AND('今日提醒'!$B$2&gt;=$R5,'今日提醒'!$B$2&lt;=$S5),"高频跟进",IF(AND('今日提醒'!$B$2&gt;=($R5-14),'今日提醒'!$B$2&lt;$R5,'今日提醒'!$B$2&lt;$L5),"临近高频",IF(AND(OR($A5="Chinese New Year",$A5="Super Bowl",$A5="Valentine's Day",$A5="Valentine Week",$A5="St. Patrick's Day",$A5="Easter",$A5="Graduation Season",$A5="Prom Season",$A5="Teacher Appreciation Week",$A5="Mother's Day",$A5="Memorial Day",$A5="Father's Day",$A5="Independence Day",$A5="Back-to-School Season",$A5="Labor Day",$A5="Halloween",$A5="Thanksgiving",$A5="Black Friday / Cyber Monday",$A5="Christmas",$A5="New Year's Eve / New Year Season"),'今日提醒'!$B$2&gt;=($R5-30),'今日提醒'!$B$2&lt;$R5,'今日提醒'!$B$2&lt;$L5),"大节气提前",IF(AND('今日提醒'!$B$2&gt;=$P5,'今日提醒'!$B$2&lt;=$Q5),"二次排查",IF(AND(OR($A5="Chinese New Year",$A5="Super Bowl",$A5="Valentine's Day",$A5="Valentine Week",$A5="St. Patrick's Day",$A5="Easter",$A5="Graduation Season",$A5="Prom Season",$A5="Teacher Appreciation Week",$A5="Mother's Day",$A5="Memorial Day",$A5="Father's Day",$A5="Independence Day",$A5="Back-to-School Season",$A5="Labor Day",$A5="Halloween",$A5="Thanksgiving",$A5="Black Friday / Cyber Monday",$A5="Christmas",$A5="New Year's Eve / New Year Season"),'今日提醒'!$B$2&gt;=($P5-14),'今日提醒'!$B$2&lt;$P5,'今日提醒'!$B$2&lt;$L5),"临近二次",IF(AND('今日提醒'!$B$2&gt;=$N5,'今日提醒'!$B$2&lt;=$O5),"一次排查",IF('今日提醒'!$B$2&lt;$N5,"未到排查",IF('今日提醒'!$B$2&lt;$L5,"等待下一窗口","已过"))))))))))))</x:f>
        <x:v>已过</x:v>
      </x:c>
      <x:c r="K5" s="41" t="str">
        <x:f>IF($J5="收尾下滑","主购买/高频窗口已过，流量可能走弱：不要盲目加预算或新建组；优先看库存压力、ACOS、广告占比、自然单，仅保留高转化词，计算清货/留仓。",IF($J5="节后清尾","节点已过但仍在清尾窗口：控低效词、降无效预算，复盘转化词；库存重则算清货，库存轻则吃完尾流。",IF($J5="节点当日","今天就是节点当日：优先看转化、库存承接、广告花费和尾流风险；可以吃最后一波有效流量，但不要再大范围新建或盲目加预算。",IF($J5="节点进行中","当前在节点/销售窗口内：这是进行中，不是预热；重点看销量、库存承接、广告花费、转化和是否已出现流量下滑。",IF($J5="高频跟进","今天在高频跟进窗口：头部SKU每日看；重点看高库存、高花费、断货风险和ACOS。",IF($J5="临近高频","高频窗口即将开始：今天先预查广告结构、关键词/ASIN、Listing埋词、库存承接和预算，避免临近节点再补。",IF($J5="大节气提前","大节气提前窗口：不要等高频当天再动；今天先锁定主推SKU、库存承接、Listing节日词、广告结构和预算上限，低相关/低库存产品不硬推。",IF($J5="二次排查","今天在二次排查窗口：补广告结构、关键词/ASIN、预算和Listing埋词。",IF($J5="临近二次","大节气二次排查即将开始：提前准备词/ASIN/图片/价格/促销，不等窗口当天才补结构。",IF($J5="一次排查","今天在一次排查窗口：先筛SKU，看历史动销、库存、利润和Listing匹配。",IF($J5="未到排查","暂不处理，等一次排查窗口。",IF($J5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5" s="42" t="n">
        <x:v>46054</x:v>
      </x:c>
      <x:c r="M5" s="42" t="n">
        <x:v>46081</x:v>
      </x:c>
      <x:c r="N5" s="42" t="n">
        <x:v>45964</x:v>
      </x:c>
      <x:c r="O5" s="42" t="n">
        <x:v>45979</x:v>
      </x:c>
      <x:c r="P5" s="42" t="n">
        <x:v>46009</x:v>
      </x:c>
      <x:c r="Q5" s="42" t="n">
        <x:v>46019</x:v>
      </x:c>
      <x:c r="R5" s="42" t="n">
        <x:v>46040</x:v>
      </x:c>
      <x:c r="S5" s="42" t="n">
        <x:v>46067</x:v>
      </x:c>
      <x:c r="T5" s="43" t="n">
        <x:f>$L5-'今日提醒'!$B$2</x:f>
        <x:v>-113</x:v>
      </x:c>
      <x:c r="U5" s="74" t="n">
        <x:f>IF(OR($J5="收尾下滑",$J5="节后清尾",$J5="节点当日",$J5="节点进行中",$J5="高频跟进",$J5="临近高频",$J5="大节气提前",$J5="二次排查",$J5="临近二次",$J5="一次排查"),IF($J5="收尾下滑",1,IF($J5="节后清尾",2,IF($J5="节点当日",3,IF($J5="节点进行中",4,IF($J5="高频跟进",5,IF($J5="临近高频",6,IF($J5="大节气提前",7,IF($J5="二次排查",8,IF($J5="临近二次",9,10)))))))))*100000+ROW(),99999999+ROW())</x:f>
        <x:v>100000004</x:v>
      </x:c>
      <x:c r="V5" s="15" t="str">
        <x:f>IF(OR($J5="收尾下滑",$J5="节后清尾"),"风险/止损",IF($J5="节点当日","机会/当日冲刺",IF($J5="节点进行中","机会/进行中",IF($J5="高频跟进","机会/高频",IF($J5="大节气提前","机会/大节气提前",IF(OR($J5="临近高频",$J5="临近二次",$J5="二次排查",$J5="一次排查"),"机会/预热","非今日"))))))</x:f>
        <x:v>非今日</x:v>
      </x:c>
      <x:c r="W5" s="15" t="str">
        <x:f>IF($J5="收尾下滑","控投/清尾/算留仓",IF($J5="节后清尾","节后降投/复盘",IF($J5="节点当日","当日冲刺/控尾流",IF($J5="节点进行中","转化监控/看趋势",IF($J5="高频跟进","放量+控ACOS",IF($J5="大节气提前","提前锁结构/预算",IF($J5="临近高频","预查结构/埋词",IF($J5="临近二次","提前补结构/埋词",IF($J5="二次排查","补结构/补词",IF($J5="一次排查","筛SKU/核库存","暂无"))))))))))</x:f>
        <x:v>暂无</x:v>
      </x:c>
      <x:c r="X5" s="15" t="str">
        <x:f>IF(AND('今日提醒'!$B$2&gt;=$L5,'今日提醒'!$B$2&lt;=$M5,$L5=$M5),"节点当日：不是预热",IF(AND('今日提醒'!$B$2&gt;=$L5,'今日提醒'!$B$2&lt;=$M5,'今日提醒'!$B$2&gt;$S5),"高频已结束但销售窗口未结束：疑似尾期/下滑",IF(AND('今日提醒'!$B$2&gt;$M5,'今日提醒'!$B$2&lt;=$S5),"节点已过但仍在清尾窗口",IF($J5="大节气提前","大节气高频前30天：提前进入主推准备",IF($J5="临近二次","大节气二次排查前14天：提前准备","")))))</x:f>
      </x:c>
    </x:row>
    <x:row r="6" ht="58" hidden="0" customHeight="1">
      <x:c r="A6" s="41" t="str">
        <x:v>Super Bowl</x:v>
      </x:c>
      <x:c r="B6" s="41" t="str">
        <x:v>超级碗</x:v>
      </x:c>
      <x:c r="C6" s="41" t="str">
        <x:v>美国橄榄球年度决赛，带动派对、球队元素、杯具、装饰和零食场景用品。</x:v>
      </x:c>
      <x:c r="D6" s="41" t="str">
        <x:v>2026-02-08</x:v>
      </x:c>
      <x:c r="E6" s="41" t="str">
        <x:v>每年变动</x:v>
      </x:c>
      <x:c r="F6" s="41" t="str">
        <x:v>派对装饰、杯具、观赛小物、球队色系配件、sports gifts</x:v>
      </x:c>
      <x:c r="G6" s="41" t="str">
        <x:v>2025-10-11 ~ 2025-11-10：先看历史销量、库存/FBA承接、是否需要改Listing。</x:v>
      </x:c>
      <x:c r="H6" s="41" t="str">
        <x:v>2025-12-10 ~ 2025-12-25：广告结构、关键词/ASIN、标题主图必须基本到位。</x:v>
      </x:c>
      <x:c r="I6" s="41" t="str">
        <x:v>2026-01-18 ~ 2026-02-11：头部SKU每日看，过后及时降投/清尾。</x:v>
      </x:c>
      <x:c r="J6" s="41" t="str">
        <x:f>IF(AND('今日提醒'!$B$2&gt;=$L6,'今日提醒'!$B$2&lt;=$M6,$L6=$M6),"节点当日",IF(AND('今日提醒'!$B$2&gt;=$L6,'今日提醒'!$B$2&lt;=$M6,'今日提醒'!$B$2&gt;$S6),"收尾下滑",IF(AND('今日提醒'!$B$2&gt;=$L6,'今日提醒'!$B$2&lt;=$M6),"节点进行中",IF(AND('今日提醒'!$B$2&gt;$M6,'今日提醒'!$B$2&lt;=$S6),"节后清尾",IF(AND('今日提醒'!$B$2&gt;=$R6,'今日提醒'!$B$2&lt;=$S6),"高频跟进",IF(AND('今日提醒'!$B$2&gt;=($R6-14),'今日提醒'!$B$2&lt;$R6,'今日提醒'!$B$2&lt;$L6),"临近高频",IF(AND(OR($A6="Chinese New Year",$A6="Super Bowl",$A6="Valentine's Day",$A6="Valentine Week",$A6="St. Patrick's Day",$A6="Easter",$A6="Graduation Season",$A6="Prom Season",$A6="Teacher Appreciation Week",$A6="Mother's Day",$A6="Memorial Day",$A6="Father's Day",$A6="Independence Day",$A6="Back-to-School Season",$A6="Labor Day",$A6="Halloween",$A6="Thanksgiving",$A6="Black Friday / Cyber Monday",$A6="Christmas",$A6="New Year's Eve / New Year Season"),'今日提醒'!$B$2&gt;=($R6-30),'今日提醒'!$B$2&lt;$R6,'今日提醒'!$B$2&lt;$L6),"大节气提前",IF(AND('今日提醒'!$B$2&gt;=$P6,'今日提醒'!$B$2&lt;=$Q6),"二次排查",IF(AND(OR($A6="Chinese New Year",$A6="Super Bowl",$A6="Valentine's Day",$A6="Valentine Week",$A6="St. Patrick's Day",$A6="Easter",$A6="Graduation Season",$A6="Prom Season",$A6="Teacher Appreciation Week",$A6="Mother's Day",$A6="Memorial Day",$A6="Father's Day",$A6="Independence Day",$A6="Back-to-School Season",$A6="Labor Day",$A6="Halloween",$A6="Thanksgiving",$A6="Black Friday / Cyber Monday",$A6="Christmas",$A6="New Year's Eve / New Year Season"),'今日提醒'!$B$2&gt;=($P6-14),'今日提醒'!$B$2&lt;$P6,'今日提醒'!$B$2&lt;$L6),"临近二次",IF(AND('今日提醒'!$B$2&gt;=$N6,'今日提醒'!$B$2&lt;=$O6),"一次排查",IF('今日提醒'!$B$2&lt;$N6,"未到排查",IF('今日提醒'!$B$2&lt;$L6,"等待下一窗口","已过"))))))))))))</x:f>
        <x:v>已过</x:v>
      </x:c>
      <x:c r="K6" s="41" t="str">
        <x:f>IF($J6="收尾下滑","主购买/高频窗口已过，流量可能走弱：不要盲目加预算或新建组；优先看库存压力、ACOS、广告占比、自然单，仅保留高转化词，计算清货/留仓。",IF($J6="节后清尾","节点已过但仍在清尾窗口：控低效词、降无效预算，复盘转化词；库存重则算清货，库存轻则吃完尾流。",IF($J6="节点当日","今天就是节点当日：优先看转化、库存承接、广告花费和尾流风险；可以吃最后一波有效流量，但不要再大范围新建或盲目加预算。",IF($J6="节点进行中","当前在节点/销售窗口内：这是进行中，不是预热；重点看销量、库存承接、广告花费、转化和是否已出现流量下滑。",IF($J6="高频跟进","今天在高频跟进窗口：头部SKU每日看；重点看高库存、高花费、断货风险和ACOS。",IF($J6="临近高频","高频窗口即将开始：今天先预查广告结构、关键词/ASIN、Listing埋词、库存承接和预算，避免临近节点再补。",IF($J6="大节气提前","大节气提前窗口：不要等高频当天再动；今天先锁定主推SKU、库存承接、Listing节日词、广告结构和预算上限，低相关/低库存产品不硬推。",IF($J6="二次排查","今天在二次排查窗口：补广告结构、关键词/ASIN、预算和Listing埋词。",IF($J6="临近二次","大节气二次排查即将开始：提前准备词/ASIN/图片/价格/促销，不等窗口当天才补结构。",IF($J6="一次排查","今天在一次排查窗口：先筛SKU，看历史动销、库存、利润和Listing匹配。",IF($J6="未到排查","暂不处理，等一次排查窗口。",IF($J6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6" s="42" t="n">
        <x:v>46061</x:v>
      </x:c>
      <x:c r="M6" s="42" t="n">
        <x:v>46061</x:v>
      </x:c>
      <x:c r="N6" s="42" t="n">
        <x:v>45941</x:v>
      </x:c>
      <x:c r="O6" s="42" t="n">
        <x:v>45971</x:v>
      </x:c>
      <x:c r="P6" s="42" t="n">
        <x:v>46001</x:v>
      </x:c>
      <x:c r="Q6" s="42" t="n">
        <x:v>46016</x:v>
      </x:c>
      <x:c r="R6" s="42" t="n">
        <x:v>46040</x:v>
      </x:c>
      <x:c r="S6" s="42" t="n">
        <x:v>46064</x:v>
      </x:c>
      <x:c r="T6" s="43" t="n">
        <x:f>$L6-'今日提醒'!$B$2</x:f>
        <x:v>-106</x:v>
      </x:c>
      <x:c r="U6" s="74" t="n">
        <x:f>IF(OR($J6="收尾下滑",$J6="节后清尾",$J6="节点当日",$J6="节点进行中",$J6="高频跟进",$J6="临近高频",$J6="大节气提前",$J6="二次排查",$J6="临近二次",$J6="一次排查"),IF($J6="收尾下滑",1,IF($J6="节后清尾",2,IF($J6="节点当日",3,IF($J6="节点进行中",4,IF($J6="高频跟进",5,IF($J6="临近高频",6,IF($J6="大节气提前",7,IF($J6="二次排查",8,IF($J6="临近二次",9,10)))))))))*100000+ROW(),99999999+ROW())</x:f>
        <x:v>100000005</x:v>
      </x:c>
      <x:c r="V6" s="15" t="str">
        <x:f>IF(OR($J6="收尾下滑",$J6="节后清尾"),"风险/止损",IF($J6="节点当日","机会/当日冲刺",IF($J6="节点进行中","机会/进行中",IF($J6="高频跟进","机会/高频",IF($J6="大节气提前","机会/大节气提前",IF(OR($J6="临近高频",$J6="临近二次",$J6="二次排查",$J6="一次排查"),"机会/预热","非今日"))))))</x:f>
        <x:v>非今日</x:v>
      </x:c>
      <x:c r="W6" s="15" t="str">
        <x:f>IF($J6="收尾下滑","控投/清尾/算留仓",IF($J6="节后清尾","节后降投/复盘",IF($J6="节点当日","当日冲刺/控尾流",IF($J6="节点进行中","转化监控/看趋势",IF($J6="高频跟进","放量+控ACOS",IF($J6="大节气提前","提前锁结构/预算",IF($J6="临近高频","预查结构/埋词",IF($J6="临近二次","提前补结构/埋词",IF($J6="二次排查","补结构/补词",IF($J6="一次排查","筛SKU/核库存","暂无"))))))))))</x:f>
        <x:v>暂无</x:v>
      </x:c>
      <x:c r="X6" s="15" t="str">
        <x:f>IF(AND('今日提醒'!$B$2&gt;=$L6,'今日提醒'!$B$2&lt;=$M6,$L6=$M6),"节点当日：不是预热",IF(AND('今日提醒'!$B$2&gt;=$L6,'今日提醒'!$B$2&lt;=$M6,'今日提醒'!$B$2&gt;$S6),"高频已结束但销售窗口未结束：疑似尾期/下滑",IF(AND('今日提醒'!$B$2&gt;$M6,'今日提醒'!$B$2&lt;=$S6),"节点已过但仍在清尾窗口",IF($J6="大节气提前","大节气高频前30天：提前进入主推准备",IF($J6="临近二次","大节气二次排查前14天：提前准备","")))))</x:f>
      </x:c>
    </x:row>
    <x:row r="7" ht="58" hidden="0" customHeight="1">
      <x:c r="A7" s="41" t="str">
        <x:v>National School Counseling Week</x:v>
      </x:c>
      <x:c r="B7" s="41" t="str">
        <x:v>全国学校辅导员周</x:v>
      </x:c>
      <x:c r="C7" s="41" t="str">
        <x:v>表彰学校辅导员，适合school counselor相关感谢礼和办公室小礼品。</x:v>
      </x:c>
      <x:c r="D7" s="41" t="str">
        <x:v>2026-02-02 ~ 2026-02-06</x:v>
      </x:c>
      <x:c r="E7" s="41" t="str">
        <x:v>每年变动</x:v>
      </x:c>
      <x:c r="F7" s="41" t="str">
        <x:v>school counselor gifts、counselor感谢卡、办公室桌面小礼</x:v>
      </x:c>
      <x:c r="G7" s="41" t="str">
        <x:v>2025-11-19 ~ 2025-12-04：按职业词筛SKU，核库存、历史动销和礼品适配。</x:v>
      </x:c>
      <x:c r="H7" s="41" t="str">
        <x:v>2025-12-24 ~ 2026-01-03：建/补广告组，补关键词/ASIN，处理低效流量。</x:v>
      </x:c>
      <x:c r="I7" s="41" t="str">
        <x:v>2026-01-19 ~ 2026-02-06：高库存/高花费SKU每日看，其余2-3天看。</x:v>
      </x:c>
      <x:c r="J7" s="41" t="str">
        <x:f>IF(AND('今日提醒'!$B$2&gt;=$L7,'今日提醒'!$B$2&lt;=$M7,$L7=$M7),"节点当日",IF(AND('今日提醒'!$B$2&gt;=$L7,'今日提醒'!$B$2&lt;=$M7,'今日提醒'!$B$2&gt;$S7),"收尾下滑",IF(AND('今日提醒'!$B$2&gt;=$L7,'今日提醒'!$B$2&lt;=$M7),"节点进行中",IF(AND('今日提醒'!$B$2&gt;$M7,'今日提醒'!$B$2&lt;=$S7),"节后清尾",IF(AND('今日提醒'!$B$2&gt;=$R7,'今日提醒'!$B$2&lt;=$S7),"高频跟进",IF(AND('今日提醒'!$B$2&gt;=($R7-14),'今日提醒'!$B$2&lt;$R7,'今日提醒'!$B$2&lt;$L7),"临近高频",IF(AND(OR($A7="Chinese New Year",$A7="Super Bowl",$A7="Valentine's Day",$A7="Valentine Week",$A7="St. Patrick's Day",$A7="Easter",$A7="Graduation Season",$A7="Prom Season",$A7="Teacher Appreciation Week",$A7="Mother's Day",$A7="Memorial Day",$A7="Father's Day",$A7="Independence Day",$A7="Back-to-School Season",$A7="Labor Day",$A7="Halloween",$A7="Thanksgiving",$A7="Black Friday / Cyber Monday",$A7="Christmas",$A7="New Year's Eve / New Year Season"),'今日提醒'!$B$2&gt;=($R7-30),'今日提醒'!$B$2&lt;$R7,'今日提醒'!$B$2&lt;$L7),"大节气提前",IF(AND('今日提醒'!$B$2&gt;=$P7,'今日提醒'!$B$2&lt;=$Q7),"二次排查",IF(AND(OR($A7="Chinese New Year",$A7="Super Bowl",$A7="Valentine's Day",$A7="Valentine Week",$A7="St. Patrick's Day",$A7="Easter",$A7="Graduation Season",$A7="Prom Season",$A7="Teacher Appreciation Week",$A7="Mother's Day",$A7="Memorial Day",$A7="Father's Day",$A7="Independence Day",$A7="Back-to-School Season",$A7="Labor Day",$A7="Halloween",$A7="Thanksgiving",$A7="Black Friday / Cyber Monday",$A7="Christmas",$A7="New Year's Eve / New Year Season"),'今日提醒'!$B$2&gt;=($P7-14),'今日提醒'!$B$2&lt;$P7,'今日提醒'!$B$2&lt;$L7),"临近二次",IF(AND('今日提醒'!$B$2&gt;=$N7,'今日提醒'!$B$2&lt;=$O7),"一次排查",IF('今日提醒'!$B$2&lt;$N7,"未到排查",IF('今日提醒'!$B$2&lt;$L7,"等待下一窗口","已过"))))))))))))</x:f>
        <x:v>已过</x:v>
      </x:c>
      <x:c r="K7" s="41" t="str">
        <x:f>IF($J7="收尾下滑","主购买/高频窗口已过，流量可能走弱：不要盲目加预算或新建组；优先看库存压力、ACOS、广告占比、自然单，仅保留高转化词，计算清货/留仓。",IF($J7="节后清尾","节点已过但仍在清尾窗口：控低效词、降无效预算，复盘转化词；库存重则算清货，库存轻则吃完尾流。",IF($J7="节点当日","今天就是节点当日：优先看转化、库存承接、广告花费和尾流风险；可以吃最后一波有效流量，但不要再大范围新建或盲目加预算。",IF($J7="节点进行中","当前在节点/销售窗口内：这是进行中，不是预热；重点看销量、库存承接、广告花费、转化和是否已出现流量下滑。",IF($J7="高频跟进","今天在高频跟进窗口：头部SKU每日看；重点看高库存、高花费、断货风险和ACOS。",IF($J7="临近高频","高频窗口即将开始：今天先预查广告结构、关键词/ASIN、Listing埋词、库存承接和预算，避免临近节点再补。",IF($J7="大节气提前","大节气提前窗口：不要等高频当天再动；今天先锁定主推SKU、库存承接、Listing节日词、广告结构和预算上限，低相关/低库存产品不硬推。",IF($J7="二次排查","今天在二次排查窗口：补广告结构、关键词/ASIN、预算和Listing埋词。",IF($J7="临近二次","大节气二次排查即将开始：提前准备词/ASIN/图片/价格/促销，不等窗口当天才补结构。",IF($J7="一次排查","今天在一次排查窗口：先筛SKU，看历史动销、库存、利润和Listing匹配。",IF($J7="未到排查","暂不处理，等一次排查窗口。",IF($J7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7" s="42" t="n">
        <x:v>46055</x:v>
      </x:c>
      <x:c r="M7" s="42" t="n">
        <x:v>46059</x:v>
      </x:c>
      <x:c r="N7" s="42" t="n">
        <x:v>45980</x:v>
      </x:c>
      <x:c r="O7" s="42" t="n">
        <x:v>45995</x:v>
      </x:c>
      <x:c r="P7" s="42" t="n">
        <x:v>46015</x:v>
      </x:c>
      <x:c r="Q7" s="42" t="n">
        <x:v>46025</x:v>
      </x:c>
      <x:c r="R7" s="42" t="n">
        <x:v>46041</x:v>
      </x:c>
      <x:c r="S7" s="42" t="n">
        <x:v>46059</x:v>
      </x:c>
      <x:c r="T7" s="43" t="n">
        <x:f>$L7-'今日提醒'!$B$2</x:f>
        <x:v>-112</x:v>
      </x:c>
      <x:c r="U7" s="74" t="n">
        <x:f>IF(OR($J7="收尾下滑",$J7="节后清尾",$J7="节点当日",$J7="节点进行中",$J7="高频跟进",$J7="临近高频",$J7="大节气提前",$J7="二次排查",$J7="临近二次",$J7="一次排查"),IF($J7="收尾下滑",1,IF($J7="节后清尾",2,IF($J7="节点当日",3,IF($J7="节点进行中",4,IF($J7="高频跟进",5,IF($J7="临近高频",6,IF($J7="大节气提前",7,IF($J7="二次排查",8,IF($J7="临近二次",9,10)))))))))*100000+ROW(),99999999+ROW())</x:f>
        <x:v>100000006</x:v>
      </x:c>
      <x:c r="V7" s="15" t="str">
        <x:f>IF(OR($J7="收尾下滑",$J7="节后清尾"),"风险/止损",IF($J7="节点当日","机会/当日冲刺",IF($J7="节点进行中","机会/进行中",IF($J7="高频跟进","机会/高频",IF($J7="大节气提前","机会/大节气提前",IF(OR($J7="临近高频",$J7="临近二次",$J7="二次排查",$J7="一次排查"),"机会/预热","非今日"))))))</x:f>
        <x:v>非今日</x:v>
      </x:c>
      <x:c r="W7" s="15" t="str">
        <x:f>IF($J7="收尾下滑","控投/清尾/算留仓",IF($J7="节后清尾","节后降投/复盘",IF($J7="节点当日","当日冲刺/控尾流",IF($J7="节点进行中","转化监控/看趋势",IF($J7="高频跟进","放量+控ACOS",IF($J7="大节气提前","提前锁结构/预算",IF($J7="临近高频","预查结构/埋词",IF($J7="临近二次","提前补结构/埋词",IF($J7="二次排查","补结构/补词",IF($J7="一次排查","筛SKU/核库存","暂无"))))))))))</x:f>
        <x:v>暂无</x:v>
      </x:c>
      <x:c r="X7" s="15" t="str">
        <x:f>IF(AND('今日提醒'!$B$2&gt;=$L7,'今日提醒'!$B$2&lt;=$M7,$L7=$M7),"节点当日：不是预热",IF(AND('今日提醒'!$B$2&gt;=$L7,'今日提醒'!$B$2&lt;=$M7,'今日提醒'!$B$2&gt;$S7),"高频已结束但销售窗口未结束：疑似尾期/下滑",IF(AND('今日提醒'!$B$2&gt;$M7,'今日提醒'!$B$2&lt;=$S7),"节点已过但仍在清尾窗口",IF($J7="大节气提前","大节气高频前30天：提前进入主推准备",IF($J7="临近二次","大节气二次排查前14天：提前准备","")))))</x:f>
      </x:c>
    </x:row>
    <x:row r="8" ht="58" hidden="0" customHeight="1">
      <x:c r="A8" s="41" t="str">
        <x:v>Galentine's Day</x:v>
      </x:c>
      <x:c r="B8" s="41" t="str">
        <x:v>闺蜜情人节</x:v>
      </x:c>
      <x:c r="C8" s="41" t="str">
        <x:v>女性朋友之间表达感谢和友谊的节点，适合闺蜜礼物、小饰品、卡片。</x:v>
      </x:c>
      <x:c r="D8" s="41" t="str">
        <x:v>2026-02-13</x:v>
      </x:c>
      <x:c r="E8" s="41" t="str">
        <x:v>固定日期</x:v>
      </x:c>
      <x:c r="F8" s="41" t="str">
        <x:v>情侣/闺蜜礼、爱心卡、bracelet、pocket hug、小饰品</x:v>
      </x:c>
      <x:c r="G8" s="41" t="str">
        <x:v>2025-12-15 ~ 2025-12-30：先筛匹配SKU、历史销量、库存和利润空间。</x:v>
      </x:c>
      <x:c r="H8" s="41" t="str">
        <x:v>2026-01-14 ~ 2026-01-23：补关键词/ASIN、Listing埋词和广告预算。</x:v>
      </x:c>
      <x:c r="I8" s="41" t="str">
        <x:v>2026-01-30 ~ 2026-02-15：重点SKU每日看，普通SKU每2-3天看。</x:v>
      </x:c>
      <x:c r="J8" s="41" t="str">
        <x:f>IF(AND('今日提醒'!$B$2&gt;=$L8,'今日提醒'!$B$2&lt;=$M8,$L8=$M8),"节点当日",IF(AND('今日提醒'!$B$2&gt;=$L8,'今日提醒'!$B$2&lt;=$M8,'今日提醒'!$B$2&gt;$S8),"收尾下滑",IF(AND('今日提醒'!$B$2&gt;=$L8,'今日提醒'!$B$2&lt;=$M8),"节点进行中",IF(AND('今日提醒'!$B$2&gt;$M8,'今日提醒'!$B$2&lt;=$S8),"节后清尾",IF(AND('今日提醒'!$B$2&gt;=$R8,'今日提醒'!$B$2&lt;=$S8),"高频跟进",IF(AND('今日提醒'!$B$2&gt;=($R8-14),'今日提醒'!$B$2&lt;$R8,'今日提醒'!$B$2&lt;$L8),"临近高频",IF(AND(OR($A8="Chinese New Year",$A8="Super Bowl",$A8="Valentine's Day",$A8="Valentine Week",$A8="St. Patrick's Day",$A8="Easter",$A8="Graduation Season",$A8="Prom Season",$A8="Teacher Appreciation Week",$A8="Mother's Day",$A8="Memorial Day",$A8="Father's Day",$A8="Independence Day",$A8="Back-to-School Season",$A8="Labor Day",$A8="Halloween",$A8="Thanksgiving",$A8="Black Friday / Cyber Monday",$A8="Christmas",$A8="New Year's Eve / New Year Season"),'今日提醒'!$B$2&gt;=($R8-30),'今日提醒'!$B$2&lt;$R8,'今日提醒'!$B$2&lt;$L8),"大节气提前",IF(AND('今日提醒'!$B$2&gt;=$P8,'今日提醒'!$B$2&lt;=$Q8),"二次排查",IF(AND(OR($A8="Chinese New Year",$A8="Super Bowl",$A8="Valentine's Day",$A8="Valentine Week",$A8="St. Patrick's Day",$A8="Easter",$A8="Graduation Season",$A8="Prom Season",$A8="Teacher Appreciation Week",$A8="Mother's Day",$A8="Memorial Day",$A8="Father's Day",$A8="Independence Day",$A8="Back-to-School Season",$A8="Labor Day",$A8="Halloween",$A8="Thanksgiving",$A8="Black Friday / Cyber Monday",$A8="Christmas",$A8="New Year's Eve / New Year Season"),'今日提醒'!$B$2&gt;=($P8-14),'今日提醒'!$B$2&lt;$P8,'今日提醒'!$B$2&lt;$L8),"临近二次",IF(AND('今日提醒'!$B$2&gt;=$N8,'今日提醒'!$B$2&lt;=$O8),"一次排查",IF('今日提醒'!$B$2&lt;$N8,"未到排查",IF('今日提醒'!$B$2&lt;$L8,"等待下一窗口","已过"))))))))))))</x:f>
        <x:v>已过</x:v>
      </x:c>
      <x:c r="K8" s="41" t="str">
        <x:f>IF($J8="收尾下滑","主购买/高频窗口已过，流量可能走弱：不要盲目加预算或新建组；优先看库存压力、ACOS、广告占比、自然单，仅保留高转化词，计算清货/留仓。",IF($J8="节后清尾","节点已过但仍在清尾窗口：控低效词、降无效预算，复盘转化词；库存重则算清货，库存轻则吃完尾流。",IF($J8="节点当日","今天就是节点当日：优先看转化、库存承接、广告花费和尾流风险；可以吃最后一波有效流量，但不要再大范围新建或盲目加预算。",IF($J8="节点进行中","当前在节点/销售窗口内：这是进行中，不是预热；重点看销量、库存承接、广告花费、转化和是否已出现流量下滑。",IF($J8="高频跟进","今天在高频跟进窗口：头部SKU每日看；重点看高库存、高花费、断货风险和ACOS。",IF($J8="临近高频","高频窗口即将开始：今天先预查广告结构、关键词/ASIN、Listing埋词、库存承接和预算，避免临近节点再补。",IF($J8="大节气提前","大节气提前窗口：不要等高频当天再动；今天先锁定主推SKU、库存承接、Listing节日词、广告结构和预算上限，低相关/低库存产品不硬推。",IF($J8="二次排查","今天在二次排查窗口：补广告结构、关键词/ASIN、预算和Listing埋词。",IF($J8="临近二次","大节气二次排查即将开始：提前准备词/ASIN/图片/价格/促销，不等窗口当天才补结构。",IF($J8="一次排查","今天在一次排查窗口：先筛SKU，看历史动销、库存、利润和Listing匹配。",IF($J8="未到排查","暂不处理，等一次排查窗口。",IF($J8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8" s="42" t="n">
        <x:v>46066</x:v>
      </x:c>
      <x:c r="M8" s="42" t="n">
        <x:v>46066</x:v>
      </x:c>
      <x:c r="N8" s="42" t="n">
        <x:v>46006</x:v>
      </x:c>
      <x:c r="O8" s="42" t="n">
        <x:v>46021</x:v>
      </x:c>
      <x:c r="P8" s="42" t="n">
        <x:v>46036</x:v>
      </x:c>
      <x:c r="Q8" s="42" t="n">
        <x:v>46045</x:v>
      </x:c>
      <x:c r="R8" s="42" t="n">
        <x:v>46052</x:v>
      </x:c>
      <x:c r="S8" s="42" t="n">
        <x:v>46068</x:v>
      </x:c>
      <x:c r="T8" s="43" t="n">
        <x:f>$L8-'今日提醒'!$B$2</x:f>
        <x:v>-101</x:v>
      </x:c>
      <x:c r="U8" s="74" t="n">
        <x:f>IF(OR($J8="收尾下滑",$J8="节后清尾",$J8="节点当日",$J8="节点进行中",$J8="高频跟进",$J8="临近高频",$J8="大节气提前",$J8="二次排查",$J8="临近二次",$J8="一次排查"),IF($J8="收尾下滑",1,IF($J8="节后清尾",2,IF($J8="节点当日",3,IF($J8="节点进行中",4,IF($J8="高频跟进",5,IF($J8="临近高频",6,IF($J8="大节气提前",7,IF($J8="二次排查",8,IF($J8="临近二次",9,10)))))))))*100000+ROW(),99999999+ROW())</x:f>
        <x:v>100000007</x:v>
      </x:c>
      <x:c r="V8" s="15" t="str">
        <x:f>IF(OR($J8="收尾下滑",$J8="节后清尾"),"风险/止损",IF($J8="节点当日","机会/当日冲刺",IF($J8="节点进行中","机会/进行中",IF($J8="高频跟进","机会/高频",IF($J8="大节气提前","机会/大节气提前",IF(OR($J8="临近高频",$J8="临近二次",$J8="二次排查",$J8="一次排查"),"机会/预热","非今日"))))))</x:f>
        <x:v>非今日</x:v>
      </x:c>
      <x:c r="W8" s="15" t="str">
        <x:f>IF($J8="收尾下滑","控投/清尾/算留仓",IF($J8="节后清尾","节后降投/复盘",IF($J8="节点当日","当日冲刺/控尾流",IF($J8="节点进行中","转化监控/看趋势",IF($J8="高频跟进","放量+控ACOS",IF($J8="大节气提前","提前锁结构/预算",IF($J8="临近高频","预查结构/埋词",IF($J8="临近二次","提前补结构/埋词",IF($J8="二次排查","补结构/补词",IF($J8="一次排查","筛SKU/核库存","暂无"))))))))))</x:f>
        <x:v>暂无</x:v>
      </x:c>
      <x:c r="X8" s="15" t="str">
        <x:f>IF(AND('今日提醒'!$B$2&gt;=$L8,'今日提醒'!$B$2&lt;=$M8,$L8=$M8),"节点当日：不是预热",IF(AND('今日提醒'!$B$2&gt;=$L8,'今日提醒'!$B$2&lt;=$M8,'今日提醒'!$B$2&gt;$S8),"高频已结束但销售窗口未结束：疑似尾期/下滑",IF(AND('今日提醒'!$B$2&gt;$M8,'今日提醒'!$B$2&lt;=$S8),"节点已过但仍在清尾窗口",IF($J8="大节气提前","大节气高频前30天：提前进入主推准备",IF($J8="临近二次","大节气二次排查前14天：提前准备","")))))</x:f>
      </x:c>
    </x:row>
    <x:row r="9" ht="58" hidden="0" customHeight="1">
      <x:c r="A9" s="41" t="str">
        <x:v>Valentine's Day</x:v>
      </x:c>
      <x:c r="B9" s="41" t="str">
        <x:v>情人节</x:v>
      </x:c>
      <x:c r="C9" s="41" t="str">
        <x:v>爱情与亲密关系礼品大节点，适合情侣礼、鲜花、卡片、首饰、装饰。</x:v>
      </x:c>
      <x:c r="D9" s="41" t="str">
        <x:v>2026-02-14</x:v>
      </x:c>
      <x:c r="E9" s="41" t="str">
        <x:v>固定日期</x:v>
      </x:c>
      <x:c r="F9" s="41" t="str">
        <x:v>情侣/闺蜜礼、爱心卡、bracelet、pocket hug、小饰品</x:v>
      </x:c>
      <x:c r="G9" s="41" t="str">
        <x:v>2025-10-17 ~ 2025-11-16：先看历史销量、库存/FBA承接、是否需要改Listing。</x:v>
      </x:c>
      <x:c r="H9" s="41" t="str">
        <x:v>2025-12-16 ~ 2025-12-31：广告结构、关键词/ASIN、标题主图必须基本到位。</x:v>
      </x:c>
      <x:c r="I9" s="41" t="str">
        <x:v>2026-01-24 ~ 2026-02-17：头部SKU每日看，过后及时降投/清尾。</x:v>
      </x:c>
      <x:c r="J9" s="41" t="str">
        <x:f>IF(AND('今日提醒'!$B$2&gt;=$L9,'今日提醒'!$B$2&lt;=$M9,$L9=$M9),"节点当日",IF(AND('今日提醒'!$B$2&gt;=$L9,'今日提醒'!$B$2&lt;=$M9,'今日提醒'!$B$2&gt;$S9),"收尾下滑",IF(AND('今日提醒'!$B$2&gt;=$L9,'今日提醒'!$B$2&lt;=$M9),"节点进行中",IF(AND('今日提醒'!$B$2&gt;$M9,'今日提醒'!$B$2&lt;=$S9),"节后清尾",IF(AND('今日提醒'!$B$2&gt;=$R9,'今日提醒'!$B$2&lt;=$S9),"高频跟进",IF(AND('今日提醒'!$B$2&gt;=($R9-14),'今日提醒'!$B$2&lt;$R9,'今日提醒'!$B$2&lt;$L9),"临近高频",IF(AND(OR($A9="Chinese New Year",$A9="Super Bowl",$A9="Valentine's Day",$A9="Valentine Week",$A9="St. Patrick's Day",$A9="Easter",$A9="Graduation Season",$A9="Prom Season",$A9="Teacher Appreciation Week",$A9="Mother's Day",$A9="Memorial Day",$A9="Father's Day",$A9="Independence Day",$A9="Back-to-School Season",$A9="Labor Day",$A9="Halloween",$A9="Thanksgiving",$A9="Black Friday / Cyber Monday",$A9="Christmas",$A9="New Year's Eve / New Year Season"),'今日提醒'!$B$2&gt;=($R9-30),'今日提醒'!$B$2&lt;$R9,'今日提醒'!$B$2&lt;$L9),"大节气提前",IF(AND('今日提醒'!$B$2&gt;=$P9,'今日提醒'!$B$2&lt;=$Q9),"二次排查",IF(AND(OR($A9="Chinese New Year",$A9="Super Bowl",$A9="Valentine's Day",$A9="Valentine Week",$A9="St. Patrick's Day",$A9="Easter",$A9="Graduation Season",$A9="Prom Season",$A9="Teacher Appreciation Week",$A9="Mother's Day",$A9="Memorial Day",$A9="Father's Day",$A9="Independence Day",$A9="Back-to-School Season",$A9="Labor Day",$A9="Halloween",$A9="Thanksgiving",$A9="Black Friday / Cyber Monday",$A9="Christmas",$A9="New Year's Eve / New Year Season"),'今日提醒'!$B$2&gt;=($P9-14),'今日提醒'!$B$2&lt;$P9,'今日提醒'!$B$2&lt;$L9),"临近二次",IF(AND('今日提醒'!$B$2&gt;=$N9,'今日提醒'!$B$2&lt;=$O9),"一次排查",IF('今日提醒'!$B$2&lt;$N9,"未到排查",IF('今日提醒'!$B$2&lt;$L9,"等待下一窗口","已过"))))))))))))</x:f>
        <x:v>已过</x:v>
      </x:c>
      <x:c r="K9" s="41" t="str">
        <x:f>IF($J9="收尾下滑","主购买/高频窗口已过，流量可能走弱：不要盲目加预算或新建组；优先看库存压力、ACOS、广告占比、自然单，仅保留高转化词，计算清货/留仓。",IF($J9="节后清尾","节点已过但仍在清尾窗口：控低效词、降无效预算，复盘转化词；库存重则算清货，库存轻则吃完尾流。",IF($J9="节点当日","今天就是节点当日：优先看转化、库存承接、广告花费和尾流风险；可以吃最后一波有效流量，但不要再大范围新建或盲目加预算。",IF($J9="节点进行中","当前在节点/销售窗口内：这是进行中，不是预热；重点看销量、库存承接、广告花费、转化和是否已出现流量下滑。",IF($J9="高频跟进","今天在高频跟进窗口：头部SKU每日看；重点看高库存、高花费、断货风险和ACOS。",IF($J9="临近高频","高频窗口即将开始：今天先预查广告结构、关键词/ASIN、Listing埋词、库存承接和预算，避免临近节点再补。",IF($J9="大节气提前","大节气提前窗口：不要等高频当天再动；今天先锁定主推SKU、库存承接、Listing节日词、广告结构和预算上限，低相关/低库存产品不硬推。",IF($J9="二次排查","今天在二次排查窗口：补广告结构、关键词/ASIN、预算和Listing埋词。",IF($J9="临近二次","大节气二次排查即将开始：提前准备词/ASIN/图片/价格/促销，不等窗口当天才补结构。",IF($J9="一次排查","今天在一次排查窗口：先筛SKU，看历史动销、库存、利润和Listing匹配。",IF($J9="未到排查","暂不处理，等一次排查窗口。",IF($J9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9" s="42" t="n">
        <x:v>46067</x:v>
      </x:c>
      <x:c r="M9" s="42" t="n">
        <x:v>46067</x:v>
      </x:c>
      <x:c r="N9" s="42" t="n">
        <x:v>45947</x:v>
      </x:c>
      <x:c r="O9" s="42" t="n">
        <x:v>45977</x:v>
      </x:c>
      <x:c r="P9" s="42" t="n">
        <x:v>46007</x:v>
      </x:c>
      <x:c r="Q9" s="42" t="n">
        <x:v>46022</x:v>
      </x:c>
      <x:c r="R9" s="42" t="n">
        <x:v>46046</x:v>
      </x:c>
      <x:c r="S9" s="42" t="n">
        <x:v>46070</x:v>
      </x:c>
      <x:c r="T9" s="43" t="n">
        <x:f>$L9-'今日提醒'!$B$2</x:f>
        <x:v>-100</x:v>
      </x:c>
      <x:c r="U9" s="74" t="n">
        <x:f>IF(OR($J9="收尾下滑",$J9="节后清尾",$J9="节点当日",$J9="节点进行中",$J9="高频跟进",$J9="临近高频",$J9="大节气提前",$J9="二次排查",$J9="临近二次",$J9="一次排查"),IF($J9="收尾下滑",1,IF($J9="节后清尾",2,IF($J9="节点当日",3,IF($J9="节点进行中",4,IF($J9="高频跟进",5,IF($J9="临近高频",6,IF($J9="大节气提前",7,IF($J9="二次排查",8,IF($J9="临近二次",9,10)))))))))*100000+ROW(),99999999+ROW())</x:f>
        <x:v>100000008</x:v>
      </x:c>
      <x:c r="V9" s="15" t="str">
        <x:f>IF(OR($J9="收尾下滑",$J9="节后清尾"),"风险/止损",IF($J9="节点当日","机会/当日冲刺",IF($J9="节点进行中","机会/进行中",IF($J9="高频跟进","机会/高频",IF($J9="大节气提前","机会/大节气提前",IF(OR($J9="临近高频",$J9="临近二次",$J9="二次排查",$J9="一次排查"),"机会/预热","非今日"))))))</x:f>
        <x:v>非今日</x:v>
      </x:c>
      <x:c r="W9" s="15" t="str">
        <x:f>IF($J9="收尾下滑","控投/清尾/算留仓",IF($J9="节后清尾","节后降投/复盘",IF($J9="节点当日","当日冲刺/控尾流",IF($J9="节点进行中","转化监控/看趋势",IF($J9="高频跟进","放量+控ACOS",IF($J9="大节气提前","提前锁结构/预算",IF($J9="临近高频","预查结构/埋词",IF($J9="临近二次","提前补结构/埋词",IF($J9="二次排查","补结构/补词",IF($J9="一次排查","筛SKU/核库存","暂无"))))))))))</x:f>
        <x:v>暂无</x:v>
      </x:c>
      <x:c r="X9" s="15" t="str">
        <x:f>IF(AND('今日提醒'!$B$2&gt;=$L9,'今日提醒'!$B$2&lt;=$M9,$L9=$M9),"节点当日：不是预热",IF(AND('今日提醒'!$B$2&gt;=$L9,'今日提醒'!$B$2&lt;=$M9,'今日提醒'!$B$2&gt;$S9),"高频已结束但销售窗口未结束：疑似尾期/下滑",IF(AND('今日提醒'!$B$2&gt;$M9,'今日提醒'!$B$2&lt;=$S9),"节点已过但仍在清尾窗口",IF($J9="大节气提前","大节气高频前30天：提前进入主推准备",IF($J9="临近二次","大节气二次排查前14天：提前准备","")))))</x:f>
      </x:c>
    </x:row>
    <x:row r="10" ht="58" hidden="0" customHeight="1">
      <x:c r="A10" s="41" t="str">
        <x:v>Mardi Gras / Carnival</x:v>
      </x:c>
      <x:c r="B10" s="41" t="str">
        <x:v>狂欢节/忏悔星期二</x:v>
      </x:c>
      <x:c r="C10" s="41" t="str">
        <x:v>复活节前的狂欢节点，适合彩色派对装饰、面具、珠链和节庆用品。</x:v>
      </x:c>
      <x:c r="D10" s="41" t="str">
        <x:v>2026-02-17</x:v>
      </x:c>
      <x:c r="E10" s="41" t="str">
        <x:v>每年变动</x:v>
      </x:c>
      <x:c r="F10" s="41" t="str">
        <x:v>Mardi Gras party favors、面具、珠链、紫绿金装饰、carnival小礼品</x:v>
      </x:c>
      <x:c r="G10" s="41" t="str">
        <x:v>2025-10-20 ~ 2025-11-19：先看历史销量、库存/FBA承接、是否需要改Listing。</x:v>
      </x:c>
      <x:c r="H10" s="41" t="str">
        <x:v>2025-12-19 ~ 2026-01-03：广告结构、关键词/ASIN、标题主图必须基本到位。</x:v>
      </x:c>
      <x:c r="I10" s="41" t="str">
        <x:v>2026-01-27 ~ 2026-02-20：头部SKU每日看，过后及时降投/清尾。</x:v>
      </x:c>
      <x:c r="J10" s="41" t="str">
        <x:f>IF(AND('今日提醒'!$B$2&gt;=$L10,'今日提醒'!$B$2&lt;=$M10,$L10=$M10),"节点当日",IF(AND('今日提醒'!$B$2&gt;=$L10,'今日提醒'!$B$2&lt;=$M10,'今日提醒'!$B$2&gt;$S10),"收尾下滑",IF(AND('今日提醒'!$B$2&gt;=$L10,'今日提醒'!$B$2&lt;=$M10),"节点进行中",IF(AND('今日提醒'!$B$2&gt;$M10,'今日提醒'!$B$2&lt;=$S10),"节后清尾",IF(AND('今日提醒'!$B$2&gt;=$R10,'今日提醒'!$B$2&lt;=$S10),"高频跟进",IF(AND('今日提醒'!$B$2&gt;=($R10-14),'今日提醒'!$B$2&lt;$R10,'今日提醒'!$B$2&lt;$L10),"临近高频",IF(AND(OR($A10="Chinese New Year",$A10="Super Bowl",$A10="Valentine's Day",$A10="Valentine Week",$A10="St. Patrick's Day",$A10="Easter",$A10="Graduation Season",$A10="Prom Season",$A10="Teacher Appreciation Week",$A10="Mother's Day",$A10="Memorial Day",$A10="Father's Day",$A10="Independence Day",$A10="Back-to-School Season",$A10="Labor Day",$A10="Halloween",$A10="Thanksgiving",$A10="Black Friday / Cyber Monday",$A10="Christmas",$A10="New Year's Eve / New Year Season"),'今日提醒'!$B$2&gt;=($R10-30),'今日提醒'!$B$2&lt;$R10,'今日提醒'!$B$2&lt;$L10),"大节气提前",IF(AND('今日提醒'!$B$2&gt;=$P10,'今日提醒'!$B$2&lt;=$Q10),"二次排查",IF(AND(OR($A10="Chinese New Year",$A10="Super Bowl",$A10="Valentine's Day",$A10="Valentine Week",$A10="St. Patrick's Day",$A10="Easter",$A10="Graduation Season",$A10="Prom Season",$A10="Teacher Appreciation Week",$A10="Mother's Day",$A10="Memorial Day",$A10="Father's Day",$A10="Independence Day",$A10="Back-to-School Season",$A10="Labor Day",$A10="Halloween",$A10="Thanksgiving",$A10="Black Friday / Cyber Monday",$A10="Christmas",$A10="New Year's Eve / New Year Season"),'今日提醒'!$B$2&gt;=($P10-14),'今日提醒'!$B$2&lt;$P10,'今日提醒'!$B$2&lt;$L10),"临近二次",IF(AND('今日提醒'!$B$2&gt;=$N10,'今日提醒'!$B$2&lt;=$O10),"一次排查",IF('今日提醒'!$B$2&lt;$N10,"未到排查",IF('今日提醒'!$B$2&lt;$L10,"等待下一窗口","已过"))))))))))))</x:f>
        <x:v>已过</x:v>
      </x:c>
      <x:c r="K10" s="41" t="str">
        <x:f>IF($J10="收尾下滑","主购买/高频窗口已过，流量可能走弱：不要盲目加预算或新建组；优先看库存压力、ACOS、广告占比、自然单，仅保留高转化词，计算清货/留仓。",IF($J10="节后清尾","节点已过但仍在清尾窗口：控低效词、降无效预算，复盘转化词；库存重则算清货，库存轻则吃完尾流。",IF($J10="节点当日","今天就是节点当日：优先看转化、库存承接、广告花费和尾流风险；可以吃最后一波有效流量，但不要再大范围新建或盲目加预算。",IF($J10="节点进行中","当前在节点/销售窗口内：这是进行中，不是预热；重点看销量、库存承接、广告花费、转化和是否已出现流量下滑。",IF($J10="高频跟进","今天在高频跟进窗口：头部SKU每日看；重点看高库存、高花费、断货风险和ACOS。",IF($J10="临近高频","高频窗口即将开始：今天先预查广告结构、关键词/ASIN、Listing埋词、库存承接和预算，避免临近节点再补。",IF($J10="大节气提前","大节气提前窗口：不要等高频当天再动；今天先锁定主推SKU、库存承接、Listing节日词、广告结构和预算上限，低相关/低库存产品不硬推。",IF($J10="二次排查","今天在二次排查窗口：补广告结构、关键词/ASIN、预算和Listing埋词。",IF($J10="临近二次","大节气二次排查即将开始：提前准备词/ASIN/图片/价格/促销，不等窗口当天才补结构。",IF($J10="一次排查","今天在一次排查窗口：先筛SKU，看历史动销、库存、利润和Listing匹配。",IF($J10="未到排查","暂不处理，等一次排查窗口。",IF($J10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10" s="42" t="n">
        <x:v>46070</x:v>
      </x:c>
      <x:c r="M10" s="42" t="n">
        <x:v>46070</x:v>
      </x:c>
      <x:c r="N10" s="42" t="n">
        <x:v>45950</x:v>
      </x:c>
      <x:c r="O10" s="42" t="n">
        <x:v>45980</x:v>
      </x:c>
      <x:c r="P10" s="42" t="n">
        <x:v>46010</x:v>
      </x:c>
      <x:c r="Q10" s="42" t="n">
        <x:v>46025</x:v>
      </x:c>
      <x:c r="R10" s="42" t="n">
        <x:v>46049</x:v>
      </x:c>
      <x:c r="S10" s="42" t="n">
        <x:v>46073</x:v>
      </x:c>
      <x:c r="T10" s="43" t="n">
        <x:f>$L10-'今日提醒'!$B$2</x:f>
        <x:v>-97</x:v>
      </x:c>
      <x:c r="U10" s="74" t="n">
        <x:f>IF(OR($J10="收尾下滑",$J10="节后清尾",$J10="节点当日",$J10="节点进行中",$J10="高频跟进",$J10="临近高频",$J10="大节气提前",$J10="二次排查",$J10="临近二次",$J10="一次排查"),IF($J10="收尾下滑",1,IF($J10="节后清尾",2,IF($J10="节点当日",3,IF($J10="节点进行中",4,IF($J10="高频跟进",5,IF($J10="临近高频",6,IF($J10="大节气提前",7,IF($J10="二次排查",8,IF($J10="临近二次",9,10)))))))))*100000+ROW(),99999999+ROW())</x:f>
        <x:v>100000009</x:v>
      </x:c>
      <x:c r="V10" s="15" t="str">
        <x:f>IF(OR($J10="收尾下滑",$J10="节后清尾"),"风险/止损",IF($J10="节点当日","机会/当日冲刺",IF($J10="节点进行中","机会/进行中",IF($J10="高频跟进","机会/高频",IF($J10="大节气提前","机会/大节气提前",IF(OR($J10="临近高频",$J10="临近二次",$J10="二次排查",$J10="一次排查"),"机会/预热","非今日"))))))</x:f>
        <x:v>非今日</x:v>
      </x:c>
      <x:c r="W10" s="15" t="str">
        <x:f>IF($J10="收尾下滑","控投/清尾/算留仓",IF($J10="节后清尾","节后降投/复盘",IF($J10="节点当日","当日冲刺/控尾流",IF($J10="节点进行中","转化监控/看趋势",IF($J10="高频跟进","放量+控ACOS",IF($J10="大节气提前","提前锁结构/预算",IF($J10="临近高频","预查结构/埋词",IF($J10="临近二次","提前补结构/埋词",IF($J10="二次排查","补结构/补词",IF($J10="一次排查","筛SKU/核库存","暂无"))))))))))</x:f>
        <x:v>暂无</x:v>
      </x:c>
      <x:c r="X10" s="15" t="str">
        <x:f>IF(AND('今日提醒'!$B$2&gt;=$L10,'今日提醒'!$B$2&lt;=$M10,$L10=$M10),"节点当日：不是预热",IF(AND('今日提醒'!$B$2&gt;=$L10,'今日提醒'!$B$2&lt;=$M10,'今日提醒'!$B$2&gt;$S10),"高频已结束但销售窗口未结束：疑似尾期/下滑",IF(AND('今日提醒'!$B$2&gt;$M10,'今日提醒'!$B$2&lt;=$S10),"节点已过但仍在清尾窗口",IF($J10="大节气提前","大节气高频前30天：提前进入主推准备",IF($J10="临近二次","大节气二次排查前14天：提前准备","")))))</x:f>
      </x:c>
    </x:row>
    <x:row r="11" ht="58" hidden="0" customHeight="1">
      <x:c r="A11" s="41" t="str">
        <x:v>100th Day of School</x:v>
      </x:c>
      <x:c r="B11" s="41" t="str">
        <x:v>开学第100天</x:v>
      </x:c>
      <x:c r="C11" s="41" t="str">
        <x:v>美国小学常见纪念日，适合百日主题、课堂活动、贴纸和老师用品。</x:v>
      </x:c>
      <x:c r="D11" s="41" t="str">
        <x:v>2026-01-20 ~ 2026-02-28</x:v>
      </x:c>
      <x:c r="E11" s="41" t="str">
        <x:v>每年变动：按各校开学日，取常用窗口</x:v>
      </x:c>
      <x:c r="F11" s="41" t="str">
        <x:v>100 days of school课堂用品、贴纸、证书、老师小礼物</x:v>
      </x:c>
      <x:c r="G11" s="41" t="str">
        <x:v>2025-11-21 ~ 2025-12-06：先筛匹配SKU、历史销量、库存和利润空间。</x:v>
      </x:c>
      <x:c r="H11" s="41" t="str">
        <x:v>2025-12-21 ~ 2025-12-30：补关键词/ASIN、Listing埋词和广告预算。</x:v>
      </x:c>
      <x:c r="I11" s="41" t="str">
        <x:v>2026-01-06 ~ 2026-03-02：重点SKU每日看，普通SKU每2-3天看。</x:v>
      </x:c>
      <x:c r="J11" s="41" t="str">
        <x:f>IF(AND('今日提醒'!$B$2&gt;=$L11,'今日提醒'!$B$2&lt;=$M11,$L11=$M11),"节点当日",IF(AND('今日提醒'!$B$2&gt;=$L11,'今日提醒'!$B$2&lt;=$M11,'今日提醒'!$B$2&gt;$S11),"收尾下滑",IF(AND('今日提醒'!$B$2&gt;=$L11,'今日提醒'!$B$2&lt;=$M11),"节点进行中",IF(AND('今日提醒'!$B$2&gt;$M11,'今日提醒'!$B$2&lt;=$S11),"节后清尾",IF(AND('今日提醒'!$B$2&gt;=$R11,'今日提醒'!$B$2&lt;=$S11),"高频跟进",IF(AND('今日提醒'!$B$2&gt;=($R11-14),'今日提醒'!$B$2&lt;$R11,'今日提醒'!$B$2&lt;$L11),"临近高频",IF(AND(OR($A11="Chinese New Year",$A11="Super Bowl",$A11="Valentine's Day",$A11="Valentine Week",$A11="St. Patrick's Day",$A11="Easter",$A11="Graduation Season",$A11="Prom Season",$A11="Teacher Appreciation Week",$A11="Mother's Day",$A11="Memorial Day",$A11="Father's Day",$A11="Independence Day",$A11="Back-to-School Season",$A11="Labor Day",$A11="Halloween",$A11="Thanksgiving",$A11="Black Friday / Cyber Monday",$A11="Christmas",$A11="New Year's Eve / New Year Season"),'今日提醒'!$B$2&gt;=($R11-30),'今日提醒'!$B$2&lt;$R11,'今日提醒'!$B$2&lt;$L11),"大节气提前",IF(AND('今日提醒'!$B$2&gt;=$P11,'今日提醒'!$B$2&lt;=$Q11),"二次排查",IF(AND(OR($A11="Chinese New Year",$A11="Super Bowl",$A11="Valentine's Day",$A11="Valentine Week",$A11="St. Patrick's Day",$A11="Easter",$A11="Graduation Season",$A11="Prom Season",$A11="Teacher Appreciation Week",$A11="Mother's Day",$A11="Memorial Day",$A11="Father's Day",$A11="Independence Day",$A11="Back-to-School Season",$A11="Labor Day",$A11="Halloween",$A11="Thanksgiving",$A11="Black Friday / Cyber Monday",$A11="Christmas",$A11="New Year's Eve / New Year Season"),'今日提醒'!$B$2&gt;=($P11-14),'今日提醒'!$B$2&lt;$P11,'今日提醒'!$B$2&lt;$L11),"临近二次",IF(AND('今日提醒'!$B$2&gt;=$N11,'今日提醒'!$B$2&lt;=$O11),"一次排查",IF('今日提醒'!$B$2&lt;$N11,"未到排查",IF('今日提醒'!$B$2&lt;$L11,"等待下一窗口","已过"))))))))))))</x:f>
        <x:v>已过</x:v>
      </x:c>
      <x:c r="K11" s="41" t="str">
        <x:f>IF($J11="收尾下滑","主购买/高频窗口已过，流量可能走弱：不要盲目加预算或新建组；优先看库存压力、ACOS、广告占比、自然单，仅保留高转化词，计算清货/留仓。",IF($J11="节后清尾","节点已过但仍在清尾窗口：控低效词、降无效预算，复盘转化词；库存重则算清货，库存轻则吃完尾流。",IF($J11="节点当日","今天就是节点当日：优先看转化、库存承接、广告花费和尾流风险；可以吃最后一波有效流量，但不要再大范围新建或盲目加预算。",IF($J11="节点进行中","当前在节点/销售窗口内：这是进行中，不是预热；重点看销量、库存承接、广告花费、转化和是否已出现流量下滑。",IF($J11="高频跟进","今天在高频跟进窗口：头部SKU每日看；重点看高库存、高花费、断货风险和ACOS。",IF($J11="临近高频","高频窗口即将开始：今天先预查广告结构、关键词/ASIN、Listing埋词、库存承接和预算，避免临近节点再补。",IF($J11="大节气提前","大节气提前窗口：不要等高频当天再动；今天先锁定主推SKU、库存承接、Listing节日词、广告结构和预算上限，低相关/低库存产品不硬推。",IF($J11="二次排查","今天在二次排查窗口：补广告结构、关键词/ASIN、预算和Listing埋词。",IF($J11="临近二次","大节气二次排查即将开始：提前准备词/ASIN/图片/价格/促销，不等窗口当天才补结构。",IF($J11="一次排查","今天在一次排查窗口：先筛SKU，看历史动销、库存、利润和Listing匹配。",IF($J11="未到排查","暂不处理，等一次排查窗口。",IF($J11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11" s="42" t="n">
        <x:v>46042</x:v>
      </x:c>
      <x:c r="M11" s="42" t="n">
        <x:v>46081</x:v>
      </x:c>
      <x:c r="N11" s="42" t="n">
        <x:v>45982</x:v>
      </x:c>
      <x:c r="O11" s="42" t="n">
        <x:v>45997</x:v>
      </x:c>
      <x:c r="P11" s="42" t="n">
        <x:v>46012</x:v>
      </x:c>
      <x:c r="Q11" s="42" t="n">
        <x:v>46021</x:v>
      </x:c>
      <x:c r="R11" s="42" t="n">
        <x:v>46028</x:v>
      </x:c>
      <x:c r="S11" s="42" t="n">
        <x:v>46083</x:v>
      </x:c>
      <x:c r="T11" s="43" t="n">
        <x:f>$L11-'今日提醒'!$B$2</x:f>
        <x:v>-125</x:v>
      </x:c>
      <x:c r="U11" s="74" t="n">
        <x:f>IF(OR($J11="收尾下滑",$J11="节后清尾",$J11="节点当日",$J11="节点进行中",$J11="高频跟进",$J11="临近高频",$J11="大节气提前",$J11="二次排查",$J11="临近二次",$J11="一次排查"),IF($J11="收尾下滑",1,IF($J11="节后清尾",2,IF($J11="节点当日",3,IF($J11="节点进行中",4,IF($J11="高频跟进",5,IF($J11="临近高频",6,IF($J11="大节气提前",7,IF($J11="二次排查",8,IF($J11="临近二次",9,10)))))))))*100000+ROW(),99999999+ROW())</x:f>
        <x:v>100000010</x:v>
      </x:c>
      <x:c r="V11" s="15" t="str">
        <x:f>IF(OR($J11="收尾下滑",$J11="节后清尾"),"风险/止损",IF($J11="节点当日","机会/当日冲刺",IF($J11="节点进行中","机会/进行中",IF($J11="高频跟进","机会/高频",IF($J11="大节气提前","机会/大节气提前",IF(OR($J11="临近高频",$J11="临近二次",$J11="二次排查",$J11="一次排查"),"机会/预热","非今日"))))))</x:f>
        <x:v>非今日</x:v>
      </x:c>
      <x:c r="W11" s="15" t="str">
        <x:f>IF($J11="收尾下滑","控投/清尾/算留仓",IF($J11="节后清尾","节后降投/复盘",IF($J11="节点当日","当日冲刺/控尾流",IF($J11="节点进行中","转化监控/看趋势",IF($J11="高频跟进","放量+控ACOS",IF($J11="大节气提前","提前锁结构/预算",IF($J11="临近高频","预查结构/埋词",IF($J11="临近二次","提前补结构/埋词",IF($J11="二次排查","补结构/补词",IF($J11="一次排查","筛SKU/核库存","暂无"))))))))))</x:f>
        <x:v>暂无</x:v>
      </x:c>
      <x:c r="X11" s="15" t="str">
        <x:f>IF(AND('今日提醒'!$B$2&gt;=$L11,'今日提醒'!$B$2&lt;=$M11,$L11=$M11),"节点当日：不是预热",IF(AND('今日提醒'!$B$2&gt;=$L11,'今日提醒'!$B$2&lt;=$M11,'今日提醒'!$B$2&gt;$S11),"高频已结束但销售窗口未结束：疑似尾期/下滑",IF(AND('今日提醒'!$B$2&gt;$M11,'今日提醒'!$B$2&lt;=$S11),"节点已过但仍在清尾窗口",IF($J11="大节气提前","大节气高频前30天：提前进入主推准备",IF($J11="临近二次","大节气二次排查前14天：提前准备","")))))</x:f>
      </x:c>
    </x:row>
    <x:row r="12" ht="58" hidden="0" customHeight="1">
      <x:c r="A12" s="41" t="str">
        <x:v>Valentine Week</x:v>
      </x:c>
      <x:c r="B12" s="41" t="str">
        <x:v>情人节周</x:v>
      </x:c>
      <x:c r="C12" s="41" t="str">
        <x:v>情人节前一周的连续礼赠窗口，适合小礼物、卡片和情侣装饰。</x:v>
      </x:c>
      <x:c r="D12" s="41" t="str">
        <x:v>2026-02-07 ~ 2026-02-14</x:v>
      </x:c>
      <x:c r="E12" s="41" t="str">
        <x:v>固定区间</x:v>
      </x:c>
      <x:c r="F12" s="41" t="str">
        <x:v>情侣/闺蜜礼、爱心卡、bracelet、pocket hug、小饰品</x:v>
      </x:c>
      <x:c r="G12" s="41" t="str">
        <x:v>2025-10-10 ~ 2025-11-09：先看历史销量、库存/FBA承接、是否需要改Listing。</x:v>
      </x:c>
      <x:c r="H12" s="41" t="str">
        <x:v>2025-12-09 ~ 2025-12-24：广告结构、关键词/ASIN、标题主图必须基本到位。</x:v>
      </x:c>
      <x:c r="I12" s="41" t="str">
        <x:v>2026-01-17 ~ 2026-02-17：头部SKU每日看，过后及时降投/清尾。</x:v>
      </x:c>
      <x:c r="J12" s="41" t="str">
        <x:f>IF(AND('今日提醒'!$B$2&gt;=$L12,'今日提醒'!$B$2&lt;=$M12,$L12=$M12),"节点当日",IF(AND('今日提醒'!$B$2&gt;=$L12,'今日提醒'!$B$2&lt;=$M12,'今日提醒'!$B$2&gt;$S12),"收尾下滑",IF(AND('今日提醒'!$B$2&gt;=$L12,'今日提醒'!$B$2&lt;=$M12),"节点进行中",IF(AND('今日提醒'!$B$2&gt;$M12,'今日提醒'!$B$2&lt;=$S12),"节后清尾",IF(AND('今日提醒'!$B$2&gt;=$R12,'今日提醒'!$B$2&lt;=$S12),"高频跟进",IF(AND('今日提醒'!$B$2&gt;=($R12-14),'今日提醒'!$B$2&lt;$R12,'今日提醒'!$B$2&lt;$L12),"临近高频",IF(AND(OR($A12="Chinese New Year",$A12="Super Bowl",$A12="Valentine's Day",$A12="Valentine Week",$A12="St. Patrick's Day",$A12="Easter",$A12="Graduation Season",$A12="Prom Season",$A12="Teacher Appreciation Week",$A12="Mother's Day",$A12="Memorial Day",$A12="Father's Day",$A12="Independence Day",$A12="Back-to-School Season",$A12="Labor Day",$A12="Halloween",$A12="Thanksgiving",$A12="Black Friday / Cyber Monday",$A12="Christmas",$A12="New Year's Eve / New Year Season"),'今日提醒'!$B$2&gt;=($R12-30),'今日提醒'!$B$2&lt;$R12,'今日提醒'!$B$2&lt;$L12),"大节气提前",IF(AND('今日提醒'!$B$2&gt;=$P12,'今日提醒'!$B$2&lt;=$Q12),"二次排查",IF(AND(OR($A12="Chinese New Year",$A12="Super Bowl",$A12="Valentine's Day",$A12="Valentine Week",$A12="St. Patrick's Day",$A12="Easter",$A12="Graduation Season",$A12="Prom Season",$A12="Teacher Appreciation Week",$A12="Mother's Day",$A12="Memorial Day",$A12="Father's Day",$A12="Independence Day",$A12="Back-to-School Season",$A12="Labor Day",$A12="Halloween",$A12="Thanksgiving",$A12="Black Friday / Cyber Monday",$A12="Christmas",$A12="New Year's Eve / New Year Season"),'今日提醒'!$B$2&gt;=($P12-14),'今日提醒'!$B$2&lt;$P12,'今日提醒'!$B$2&lt;$L12),"临近二次",IF(AND('今日提醒'!$B$2&gt;=$N12,'今日提醒'!$B$2&lt;=$O12),"一次排查",IF('今日提醒'!$B$2&lt;$N12,"未到排查",IF('今日提醒'!$B$2&lt;$L12,"等待下一窗口","已过"))))))))))))</x:f>
        <x:v>已过</x:v>
      </x:c>
      <x:c r="K12" s="41" t="str">
        <x:f>IF($J12="收尾下滑","主购买/高频窗口已过，流量可能走弱：不要盲目加预算或新建组；优先看库存压力、ACOS、广告占比、自然单，仅保留高转化词，计算清货/留仓。",IF($J12="节后清尾","节点已过但仍在清尾窗口：控低效词、降无效预算，复盘转化词；库存重则算清货，库存轻则吃完尾流。",IF($J12="节点当日","今天就是节点当日：优先看转化、库存承接、广告花费和尾流风险；可以吃最后一波有效流量，但不要再大范围新建或盲目加预算。",IF($J12="节点进行中","当前在节点/销售窗口内：这是进行中，不是预热；重点看销量、库存承接、广告花费、转化和是否已出现流量下滑。",IF($J12="高频跟进","今天在高频跟进窗口：头部SKU每日看；重点看高库存、高花费、断货风险和ACOS。",IF($J12="临近高频","高频窗口即将开始：今天先预查广告结构、关键词/ASIN、Listing埋词、库存承接和预算，避免临近节点再补。",IF($J12="大节气提前","大节气提前窗口：不要等高频当天再动；今天先锁定主推SKU、库存承接、Listing节日词、广告结构和预算上限，低相关/低库存产品不硬推。",IF($J12="二次排查","今天在二次排查窗口：补广告结构、关键词/ASIN、预算和Listing埋词。",IF($J12="临近二次","大节气二次排查即将开始：提前准备词/ASIN/图片/价格/促销，不等窗口当天才补结构。",IF($J12="一次排查","今天在一次排查窗口：先筛SKU，看历史动销、库存、利润和Listing匹配。",IF($J12="未到排查","暂不处理，等一次排查窗口。",IF($J12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12" s="42" t="n">
        <x:v>46060</x:v>
      </x:c>
      <x:c r="M12" s="42" t="n">
        <x:v>46067</x:v>
      </x:c>
      <x:c r="N12" s="42" t="n">
        <x:v>45940</x:v>
      </x:c>
      <x:c r="O12" s="42" t="n">
        <x:v>45970</x:v>
      </x:c>
      <x:c r="P12" s="42" t="n">
        <x:v>46000</x:v>
      </x:c>
      <x:c r="Q12" s="42" t="n">
        <x:v>46015</x:v>
      </x:c>
      <x:c r="R12" s="42" t="n">
        <x:v>46039</x:v>
      </x:c>
      <x:c r="S12" s="42" t="n">
        <x:v>46070</x:v>
      </x:c>
      <x:c r="T12" s="43" t="n">
        <x:f>$L12-'今日提醒'!$B$2</x:f>
        <x:v>-107</x:v>
      </x:c>
      <x:c r="U12" s="74" t="n">
        <x:f>IF(OR($J12="收尾下滑",$J12="节后清尾",$J12="节点当日",$J12="节点进行中",$J12="高频跟进",$J12="临近高频",$J12="大节气提前",$J12="二次排查",$J12="临近二次",$J12="一次排查"),IF($J12="收尾下滑",1,IF($J12="节后清尾",2,IF($J12="节点当日",3,IF($J12="节点进行中",4,IF($J12="高频跟进",5,IF($J12="临近高频",6,IF($J12="大节气提前",7,IF($J12="二次排查",8,IF($J12="临近二次",9,10)))))))))*100000+ROW(),99999999+ROW())</x:f>
        <x:v>100000011</x:v>
      </x:c>
      <x:c r="V12" s="15" t="str">
        <x:f>IF(OR($J12="收尾下滑",$J12="节后清尾"),"风险/止损",IF($J12="节点当日","机会/当日冲刺",IF($J12="节点进行中","机会/进行中",IF($J12="高频跟进","机会/高频",IF($J12="大节气提前","机会/大节气提前",IF(OR($J12="临近高频",$J12="临近二次",$J12="二次排查",$J12="一次排查"),"机会/预热","非今日"))))))</x:f>
        <x:v>非今日</x:v>
      </x:c>
      <x:c r="W12" s="15" t="str">
        <x:f>IF($J12="收尾下滑","控投/清尾/算留仓",IF($J12="节后清尾","节后降投/复盘",IF($J12="节点当日","当日冲刺/控尾流",IF($J12="节点进行中","转化监控/看趋势",IF($J12="高频跟进","放量+控ACOS",IF($J12="大节气提前","提前锁结构/预算",IF($J12="临近高频","预查结构/埋词",IF($J12="临近二次","提前补结构/埋词",IF($J12="二次排查","补结构/补词",IF($J12="一次排查","筛SKU/核库存","暂无"))))))))))</x:f>
        <x:v>暂无</x:v>
      </x:c>
      <x:c r="X12" s="15" t="str">
        <x:f>IF(AND('今日提醒'!$B$2&gt;=$L12,'今日提醒'!$B$2&lt;=$M12,$L12=$M12),"节点当日：不是预热",IF(AND('今日提醒'!$B$2&gt;=$L12,'今日提醒'!$B$2&lt;=$M12,'今日提醒'!$B$2&gt;$S12),"高频已结束但销售窗口未结束：疑似尾期/下滑",IF(AND('今日提醒'!$B$2&gt;$M12,'今日提醒'!$B$2&lt;=$S12),"节点已过但仍在清尾窗口",IF($J12="大节气提前","大节气高频前30天：提前进入主推准备",IF($J12="临近二次","大节气二次排查前14天：提前准备","")))))</x:f>
      </x:c>
    </x:row>
    <x:row r="13" ht="58" hidden="0" customHeight="1">
      <x:c r="A13" s="41" t="str">
        <x:v>Random Acts of Kindness Day / Week</x:v>
      </x:c>
      <x:c r="B13" s="41" t="str">
        <x:v>随机善意日/善意周</x:v>
      </x:c>
      <x:c r="C13" s="41" t="str">
        <x:v>鼓励日常善意行动，适合kindness、encouragement、pocket hug、affirmation cards等暖心礼品。</x:v>
      </x:c>
      <x:c r="D13" s="41" t="str">
        <x:v>2026-02-15 ~ 2026-02-21</x:v>
      </x:c>
      <x:c r="E13" s="41" t="str">
        <x:v>日期固定+周区间变动</x:v>
      </x:c>
      <x:c r="F13" s="41" t="str">
        <x:v>kindness gifts、pocket hug、affirmation cards、鼓励手链</x:v>
      </x:c>
      <x:c r="G13" s="41" t="str">
        <x:v>2025-12-02 ~ 2025-12-17：按职业词筛SKU，核库存、历史动销和礼品适配。</x:v>
      </x:c>
      <x:c r="H13" s="41" t="str">
        <x:v>2026-01-06 ~ 2026-01-16：建/补广告组，补关键词/ASIN，处理低效流量。</x:v>
      </x:c>
      <x:c r="I13" s="41" t="str">
        <x:v>2026-02-01 ~ 2026-02-21：高库存/高花费SKU每日看，其余2-3天看。</x:v>
      </x:c>
      <x:c r="J13" s="41" t="str">
        <x:f>IF(AND('今日提醒'!$B$2&gt;=$L13,'今日提醒'!$B$2&lt;=$M13,$L13=$M13),"节点当日",IF(AND('今日提醒'!$B$2&gt;=$L13,'今日提醒'!$B$2&lt;=$M13,'今日提醒'!$B$2&gt;$S13),"收尾下滑",IF(AND('今日提醒'!$B$2&gt;=$L13,'今日提醒'!$B$2&lt;=$M13),"节点进行中",IF(AND('今日提醒'!$B$2&gt;$M13,'今日提醒'!$B$2&lt;=$S13),"节后清尾",IF(AND('今日提醒'!$B$2&gt;=$R13,'今日提醒'!$B$2&lt;=$S13),"高频跟进",IF(AND('今日提醒'!$B$2&gt;=($R13-14),'今日提醒'!$B$2&lt;$R13,'今日提醒'!$B$2&lt;$L13),"临近高频",IF(AND(OR($A13="Chinese New Year",$A13="Super Bowl",$A13="Valentine's Day",$A13="Valentine Week",$A13="St. Patrick's Day",$A13="Easter",$A13="Graduation Season",$A13="Prom Season",$A13="Teacher Appreciation Week",$A13="Mother's Day",$A13="Memorial Day",$A13="Father's Day",$A13="Independence Day",$A13="Back-to-School Season",$A13="Labor Day",$A13="Halloween",$A13="Thanksgiving",$A13="Black Friday / Cyber Monday",$A13="Christmas",$A13="New Year's Eve / New Year Season"),'今日提醒'!$B$2&gt;=($R13-30),'今日提醒'!$B$2&lt;$R13,'今日提醒'!$B$2&lt;$L13),"大节气提前",IF(AND('今日提醒'!$B$2&gt;=$P13,'今日提醒'!$B$2&lt;=$Q13),"二次排查",IF(AND(OR($A13="Chinese New Year",$A13="Super Bowl",$A13="Valentine's Day",$A13="Valentine Week",$A13="St. Patrick's Day",$A13="Easter",$A13="Graduation Season",$A13="Prom Season",$A13="Teacher Appreciation Week",$A13="Mother's Day",$A13="Memorial Day",$A13="Father's Day",$A13="Independence Day",$A13="Back-to-School Season",$A13="Labor Day",$A13="Halloween",$A13="Thanksgiving",$A13="Black Friday / Cyber Monday",$A13="Christmas",$A13="New Year's Eve / New Year Season"),'今日提醒'!$B$2&gt;=($P13-14),'今日提醒'!$B$2&lt;$P13,'今日提醒'!$B$2&lt;$L13),"临近二次",IF(AND('今日提醒'!$B$2&gt;=$N13,'今日提醒'!$B$2&lt;=$O13),"一次排查",IF('今日提醒'!$B$2&lt;$N13,"未到排查",IF('今日提醒'!$B$2&lt;$L13,"等待下一窗口","已过"))))))))))))</x:f>
        <x:v>已过</x:v>
      </x:c>
      <x:c r="K13" s="41" t="str">
        <x:f>IF($J13="收尾下滑","主购买/高频窗口已过，流量可能走弱：不要盲目加预算或新建组；优先看库存压力、ACOS、广告占比、自然单，仅保留高转化词，计算清货/留仓。",IF($J13="节后清尾","节点已过但仍在清尾窗口：控低效词、降无效预算，复盘转化词；库存重则算清货，库存轻则吃完尾流。",IF($J13="节点当日","今天就是节点当日：优先看转化、库存承接、广告花费和尾流风险；可以吃最后一波有效流量，但不要再大范围新建或盲目加预算。",IF($J13="节点进行中","当前在节点/销售窗口内：这是进行中，不是预热；重点看销量、库存承接、广告花费、转化和是否已出现流量下滑。",IF($J13="高频跟进","今天在高频跟进窗口：头部SKU每日看；重点看高库存、高花费、断货风险和ACOS。",IF($J13="临近高频","高频窗口即将开始：今天先预查广告结构、关键词/ASIN、Listing埋词、库存承接和预算，避免临近节点再补。",IF($J13="大节气提前","大节气提前窗口：不要等高频当天再动；今天先锁定主推SKU、库存承接、Listing节日词、广告结构和预算上限，低相关/低库存产品不硬推。",IF($J13="二次排查","今天在二次排查窗口：补广告结构、关键词/ASIN、预算和Listing埋词。",IF($J13="临近二次","大节气二次排查即将开始：提前准备词/ASIN/图片/价格/促销，不等窗口当天才补结构。",IF($J13="一次排查","今天在一次排查窗口：先筛SKU，看历史动销、库存、利润和Listing匹配。",IF($J13="未到排查","暂不处理，等一次排查窗口。",IF($J13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13" s="42" t="n">
        <x:v>46068</x:v>
      </x:c>
      <x:c r="M13" s="42" t="n">
        <x:v>46074</x:v>
      </x:c>
      <x:c r="N13" s="42" t="n">
        <x:v>45993</x:v>
      </x:c>
      <x:c r="O13" s="42" t="n">
        <x:v>46008</x:v>
      </x:c>
      <x:c r="P13" s="42" t="n">
        <x:v>46028</x:v>
      </x:c>
      <x:c r="Q13" s="42" t="n">
        <x:v>46038</x:v>
      </x:c>
      <x:c r="R13" s="42" t="n">
        <x:v>46054</x:v>
      </x:c>
      <x:c r="S13" s="42" t="n">
        <x:v>46074</x:v>
      </x:c>
      <x:c r="T13" s="43" t="n">
        <x:f>$L13-'今日提醒'!$B$2</x:f>
        <x:v>-99</x:v>
      </x:c>
      <x:c r="U13" s="74" t="n">
        <x:f>IF(OR($J13="收尾下滑",$J13="节后清尾",$J13="节点当日",$J13="节点进行中",$J13="高频跟进",$J13="临近高频",$J13="大节气提前",$J13="二次排查",$J13="临近二次",$J13="一次排查"),IF($J13="收尾下滑",1,IF($J13="节后清尾",2,IF($J13="节点当日",3,IF($J13="节点进行中",4,IF($J13="高频跟进",5,IF($J13="临近高频",6,IF($J13="大节气提前",7,IF($J13="二次排查",8,IF($J13="临近二次",9,10)))))))))*100000+ROW(),99999999+ROW())</x:f>
        <x:v>100000012</x:v>
      </x:c>
      <x:c r="V13" s="15" t="str">
        <x:f>IF(OR($J13="收尾下滑",$J13="节后清尾"),"风险/止损",IF($J13="节点当日","机会/当日冲刺",IF($J13="节点进行中","机会/进行中",IF($J13="高频跟进","机会/高频",IF($J13="大节气提前","机会/大节气提前",IF(OR($J13="临近高频",$J13="临近二次",$J13="二次排查",$J13="一次排查"),"机会/预热","非今日"))))))</x:f>
        <x:v>非今日</x:v>
      </x:c>
      <x:c r="W13" s="15" t="str">
        <x:f>IF($J13="收尾下滑","控投/清尾/算留仓",IF($J13="节后清尾","节后降投/复盘",IF($J13="节点当日","当日冲刺/控尾流",IF($J13="节点进行中","转化监控/看趋势",IF($J13="高频跟进","放量+控ACOS",IF($J13="大节气提前","提前锁结构/预算",IF($J13="临近高频","预查结构/埋词",IF($J13="临近二次","提前补结构/埋词",IF($J13="二次排查","补结构/补词",IF($J13="一次排查","筛SKU/核库存","暂无"))))))))))</x:f>
        <x:v>暂无</x:v>
      </x:c>
      <x:c r="X13" s="15" t="str">
        <x:f>IF(AND('今日提醒'!$B$2&gt;=$L13,'今日提醒'!$B$2&lt;=$M13,$L13=$M13),"节点当日：不是预热",IF(AND('今日提醒'!$B$2&gt;=$L13,'今日提醒'!$B$2&lt;=$M13,'今日提醒'!$B$2&gt;$S13),"高频已结束但销售窗口未结束：疑似尾期/下滑",IF(AND('今日提醒'!$B$2&gt;$M13,'今日提醒'!$B$2&lt;=$S13),"节点已过但仍在清尾窗口",IF($J13="大节气提前","大节气高频前30天：提前进入主推准备",IF($J13="临近二次","大节气二次排查前14天：提前准备","")))))</x:f>
      </x:c>
    </x:row>
    <x:row r="14" ht="58" hidden="0" customHeight="1">
      <x:c r="A14" s="41" t="str">
        <x:v>Presidents’ Day / Washington’s Birthday</x:v>
      </x:c>
      <x:c r="B14" s="41" t="str">
        <x:v>总统日/华盛顿诞辰纪念日</x:v>
      </x:c>
      <x:c r="C14" s="41" t="str">
        <x:v>美国联邦假日与零售促销节点，适合家居、办公、服饰等大促节奏规划。</x:v>
      </x:c>
      <x:c r="D14" s="41" t="str">
        <x:v>2026-02-16</x:v>
      </x:c>
      <x:c r="E14" s="41" t="str">
        <x:v>每年变动</x:v>
      </x:c>
      <x:c r="F14" s="41" t="str">
        <x:v>全品类促销节点：重点看库存、价格、广告预算、清货/放量款</x:v>
      </x:c>
      <x:c r="G14" s="41" t="str">
        <x:v>2025-12-18 ~ 2026-01-02：盘库存、价格、毛利、滞销/可放量SKU。</x:v>
      </x:c>
      <x:c r="H14" s="41" t="str">
        <x:v>2026-01-26 ~ 2026-02-02：定折扣、预算上限、主推/清货名单。</x:v>
      </x:c>
      <x:c r="I14" s="41" t="str">
        <x:v>2026-02-09 ~ 2026-02-18：每日看利润、广告占比、断货和清货效果。</x:v>
      </x:c>
      <x:c r="J14" s="41" t="str">
        <x:f>IF(AND('今日提醒'!$B$2&gt;=$L14,'今日提醒'!$B$2&lt;=$M14,$L14=$M14),"节点当日",IF(AND('今日提醒'!$B$2&gt;=$L14,'今日提醒'!$B$2&lt;=$M14,'今日提醒'!$B$2&gt;$S14),"收尾下滑",IF(AND('今日提醒'!$B$2&gt;=$L14,'今日提醒'!$B$2&lt;=$M14),"节点进行中",IF(AND('今日提醒'!$B$2&gt;$M14,'今日提醒'!$B$2&lt;=$S14),"节后清尾",IF(AND('今日提醒'!$B$2&gt;=$R14,'今日提醒'!$B$2&lt;=$S14),"高频跟进",IF(AND('今日提醒'!$B$2&gt;=($R14-14),'今日提醒'!$B$2&lt;$R14,'今日提醒'!$B$2&lt;$L14),"临近高频",IF(AND(OR($A14="Chinese New Year",$A14="Super Bowl",$A14="Valentine's Day",$A14="Valentine Week",$A14="St. Patrick's Day",$A14="Easter",$A14="Graduation Season",$A14="Prom Season",$A14="Teacher Appreciation Week",$A14="Mother's Day",$A14="Memorial Day",$A14="Father's Day",$A14="Independence Day",$A14="Back-to-School Season",$A14="Labor Day",$A14="Halloween",$A14="Thanksgiving",$A14="Black Friday / Cyber Monday",$A14="Christmas",$A14="New Year's Eve / New Year Season"),'今日提醒'!$B$2&gt;=($R14-30),'今日提醒'!$B$2&lt;$R14,'今日提醒'!$B$2&lt;$L14),"大节气提前",IF(AND('今日提醒'!$B$2&gt;=$P14,'今日提醒'!$B$2&lt;=$Q14),"二次排查",IF(AND(OR($A14="Chinese New Year",$A14="Super Bowl",$A14="Valentine's Day",$A14="Valentine Week",$A14="St. Patrick's Day",$A14="Easter",$A14="Graduation Season",$A14="Prom Season",$A14="Teacher Appreciation Week",$A14="Mother's Day",$A14="Memorial Day",$A14="Father's Day",$A14="Independence Day",$A14="Back-to-School Season",$A14="Labor Day",$A14="Halloween",$A14="Thanksgiving",$A14="Black Friday / Cyber Monday",$A14="Christmas",$A14="New Year's Eve / New Year Season"),'今日提醒'!$B$2&gt;=($P14-14),'今日提醒'!$B$2&lt;$P14,'今日提醒'!$B$2&lt;$L14),"临近二次",IF(AND('今日提醒'!$B$2&gt;=$N14,'今日提醒'!$B$2&lt;=$O14),"一次排查",IF('今日提醒'!$B$2&lt;$N14,"未到排查",IF('今日提醒'!$B$2&lt;$L14,"等待下一窗口","已过"))))))))))))</x:f>
        <x:v>已过</x:v>
      </x:c>
      <x:c r="K14" s="41" t="str">
        <x:f>IF($J14="收尾下滑","主购买/高频窗口已过，流量可能走弱：不要盲目加预算或新建组；优先看库存压力、ACOS、广告占比、自然单，仅保留高转化词，计算清货/留仓。",IF($J14="节后清尾","节点已过但仍在清尾窗口：控低效词、降无效预算，复盘转化词；库存重则算清货，库存轻则吃完尾流。",IF($J14="节点当日","今天就是节点当日：优先看转化、库存承接、广告花费和尾流风险；可以吃最后一波有效流量，但不要再大范围新建或盲目加预算。",IF($J14="节点进行中","当前在节点/销售窗口内：这是进行中，不是预热；重点看销量、库存承接、广告花费、转化和是否已出现流量下滑。",IF($J14="高频跟进","今天在高频跟进窗口：头部SKU每日看；重点看高库存、高花费、断货风险和ACOS。",IF($J14="临近高频","高频窗口即将开始：今天先预查广告结构、关键词/ASIN、Listing埋词、库存承接和预算，避免临近节点再补。",IF($J14="大节气提前","大节气提前窗口：不要等高频当天再动；今天先锁定主推SKU、库存承接、Listing节日词、广告结构和预算上限，低相关/低库存产品不硬推。",IF($J14="二次排查","今天在二次排查窗口：补广告结构、关键词/ASIN、预算和Listing埋词。",IF($J14="临近二次","大节气二次排查即将开始：提前准备词/ASIN/图片/价格/促销，不等窗口当天才补结构。",IF($J14="一次排查","今天在一次排查窗口：先筛SKU，看历史动销、库存、利润和Listing匹配。",IF($J14="未到排查","暂不处理，等一次排查窗口。",IF($J14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14" s="42" t="n">
        <x:v>46069</x:v>
      </x:c>
      <x:c r="M14" s="42" t="n">
        <x:v>46069</x:v>
      </x:c>
      <x:c r="N14" s="42" t="n">
        <x:v>46009</x:v>
      </x:c>
      <x:c r="O14" s="42" t="n">
        <x:v>46024</x:v>
      </x:c>
      <x:c r="P14" s="42" t="n">
        <x:v>46048</x:v>
      </x:c>
      <x:c r="Q14" s="42" t="n">
        <x:v>46055</x:v>
      </x:c>
      <x:c r="R14" s="42" t="n">
        <x:v>46062</x:v>
      </x:c>
      <x:c r="S14" s="42" t="n">
        <x:v>46071</x:v>
      </x:c>
      <x:c r="T14" s="43" t="n">
        <x:f>$L14-'今日提醒'!$B$2</x:f>
        <x:v>-98</x:v>
      </x:c>
      <x:c r="U14" s="74" t="n">
        <x:f>IF(OR($J14="收尾下滑",$J14="节后清尾",$J14="节点当日",$J14="节点进行中",$J14="高频跟进",$J14="临近高频",$J14="大节气提前",$J14="二次排查",$J14="临近二次",$J14="一次排查"),IF($J14="收尾下滑",1,IF($J14="节后清尾",2,IF($J14="节点当日",3,IF($J14="节点进行中",4,IF($J14="高频跟进",5,IF($J14="临近高频",6,IF($J14="大节气提前",7,IF($J14="二次排查",8,IF($J14="临近二次",9,10)))))))))*100000+ROW(),99999999+ROW())</x:f>
        <x:v>100000013</x:v>
      </x:c>
      <x:c r="V14" s="15" t="str">
        <x:f>IF(OR($J14="收尾下滑",$J14="节后清尾"),"风险/止损",IF($J14="节点当日","机会/当日冲刺",IF($J14="节点进行中","机会/进行中",IF($J14="高频跟进","机会/高频",IF($J14="大节气提前","机会/大节气提前",IF(OR($J14="临近高频",$J14="临近二次",$J14="二次排查",$J14="一次排查"),"机会/预热","非今日"))))))</x:f>
        <x:v>非今日</x:v>
      </x:c>
      <x:c r="W14" s="15" t="str">
        <x:f>IF($J14="收尾下滑","控投/清尾/算留仓",IF($J14="节后清尾","节后降投/复盘",IF($J14="节点当日","当日冲刺/控尾流",IF($J14="节点进行中","转化监控/看趋势",IF($J14="高频跟进","放量+控ACOS",IF($J14="大节气提前","提前锁结构/预算",IF($J14="临近高频","预查结构/埋词",IF($J14="临近二次","提前补结构/埋词",IF($J14="二次排查","补结构/补词",IF($J14="一次排查","筛SKU/核库存","暂无"))))))))))</x:f>
        <x:v>暂无</x:v>
      </x:c>
      <x:c r="X14" s="15" t="str">
        <x:f>IF(AND('今日提醒'!$B$2&gt;=$L14,'今日提醒'!$B$2&lt;=$M14,$L14=$M14),"节点当日：不是预热",IF(AND('今日提醒'!$B$2&gt;=$L14,'今日提醒'!$B$2&lt;=$M14,'今日提醒'!$B$2&gt;$S14),"高频已结束但销售窗口未结束：疑似尾期/下滑",IF(AND('今日提醒'!$B$2&gt;$M14,'今日提醒'!$B$2&lt;=$S14),"节点已过但仍在清尾窗口",IF($J14="大节气提前","大节气高频前30天：提前进入主推准备",IF($J14="临近二次","大节气二次排查前14天：提前准备","")))))</x:f>
      </x:c>
    </x:row>
    <x:row r="15" ht="58" hidden="0" customHeight="1">
      <x:c r="A15" s="41" t="str">
        <x:v>Read Across America Day / Week</x:v>
      </x:c>
      <x:c r="B15" s="41" t="str">
        <x:v>全美阅读日/阅读周</x:v>
      </x:c>
      <x:c r="C15" s="41" t="str">
        <x:v>由NEA推动的阅读激励节点，适合书签、阅读卡、图书馆、老师和课堂礼品。</x:v>
      </x:c>
      <x:c r="D15" s="41" t="str">
        <x:v>2026-03-02 ~ 2026-03-06</x:v>
      </x:c>
      <x:c r="E15" s="41" t="str">
        <x:v>每年变动</x:v>
      </x:c>
      <x:c r="F15" s="41" t="str">
        <x:v>书签、reading cards、librarian gifts、teacher classroom礼品</x:v>
      </x:c>
      <x:c r="G15" s="41" t="str">
        <x:v>2025-12-17 ~ 2026-01-01：按职业词筛SKU，核库存、历史动销和礼品适配。</x:v>
      </x:c>
      <x:c r="H15" s="41" t="str">
        <x:v>2026-01-21 ~ 2026-01-31：建/补广告组，补关键词/ASIN，处理低效流量。</x:v>
      </x:c>
      <x:c r="I15" s="41" t="str">
        <x:v>2026-02-16 ~ 2026-03-06：高库存/高花费SKU每日看，其余2-3天看。</x:v>
      </x:c>
      <x:c r="J15" s="41" t="str">
        <x:f>IF(AND('今日提醒'!$B$2&gt;=$L15,'今日提醒'!$B$2&lt;=$M15,$L15=$M15),"节点当日",IF(AND('今日提醒'!$B$2&gt;=$L15,'今日提醒'!$B$2&lt;=$M15,'今日提醒'!$B$2&gt;$S15),"收尾下滑",IF(AND('今日提醒'!$B$2&gt;=$L15,'今日提醒'!$B$2&lt;=$M15),"节点进行中",IF(AND('今日提醒'!$B$2&gt;$M15,'今日提醒'!$B$2&lt;=$S15),"节后清尾",IF(AND('今日提醒'!$B$2&gt;=$R15,'今日提醒'!$B$2&lt;=$S15),"高频跟进",IF(AND('今日提醒'!$B$2&gt;=($R15-14),'今日提醒'!$B$2&lt;$R15,'今日提醒'!$B$2&lt;$L15),"临近高频",IF(AND(OR($A15="Chinese New Year",$A15="Super Bowl",$A15="Valentine's Day",$A15="Valentine Week",$A15="St. Patrick's Day",$A15="Easter",$A15="Graduation Season",$A15="Prom Season",$A15="Teacher Appreciation Week",$A15="Mother's Day",$A15="Memorial Day",$A15="Father's Day",$A15="Independence Day",$A15="Back-to-School Season",$A15="Labor Day",$A15="Halloween",$A15="Thanksgiving",$A15="Black Friday / Cyber Monday",$A15="Christmas",$A15="New Year's Eve / New Year Season"),'今日提醒'!$B$2&gt;=($R15-30),'今日提醒'!$B$2&lt;$R15,'今日提醒'!$B$2&lt;$L15),"大节气提前",IF(AND('今日提醒'!$B$2&gt;=$P15,'今日提醒'!$B$2&lt;=$Q15),"二次排查",IF(AND(OR($A15="Chinese New Year",$A15="Super Bowl",$A15="Valentine's Day",$A15="Valentine Week",$A15="St. Patrick's Day",$A15="Easter",$A15="Graduation Season",$A15="Prom Season",$A15="Teacher Appreciation Week",$A15="Mother's Day",$A15="Memorial Day",$A15="Father's Day",$A15="Independence Day",$A15="Back-to-School Season",$A15="Labor Day",$A15="Halloween",$A15="Thanksgiving",$A15="Black Friday / Cyber Monday",$A15="Christmas",$A15="New Year's Eve / New Year Season"),'今日提醒'!$B$2&gt;=($P15-14),'今日提醒'!$B$2&lt;$P15,'今日提醒'!$B$2&lt;$L15),"临近二次",IF(AND('今日提醒'!$B$2&gt;=$N15,'今日提醒'!$B$2&lt;=$O15),"一次排查",IF('今日提醒'!$B$2&lt;$N15,"未到排查",IF('今日提醒'!$B$2&lt;$L15,"等待下一窗口","已过"))))))))))))</x:f>
        <x:v>已过</x:v>
      </x:c>
      <x:c r="K15" s="41" t="str">
        <x:f>IF($J15="收尾下滑","主购买/高频窗口已过，流量可能走弱：不要盲目加预算或新建组；优先看库存压力、ACOS、广告占比、自然单，仅保留高转化词，计算清货/留仓。",IF($J15="节后清尾","节点已过但仍在清尾窗口：控低效词、降无效预算，复盘转化词；库存重则算清货，库存轻则吃完尾流。",IF($J15="节点当日","今天就是节点当日：优先看转化、库存承接、广告花费和尾流风险；可以吃最后一波有效流量，但不要再大范围新建或盲目加预算。",IF($J15="节点进行中","当前在节点/销售窗口内：这是进行中，不是预热；重点看销量、库存承接、广告花费、转化和是否已出现流量下滑。",IF($J15="高频跟进","今天在高频跟进窗口：头部SKU每日看；重点看高库存、高花费、断货风险和ACOS。",IF($J15="临近高频","高频窗口即将开始：今天先预查广告结构、关键词/ASIN、Listing埋词、库存承接和预算，避免临近节点再补。",IF($J15="大节气提前","大节气提前窗口：不要等高频当天再动；今天先锁定主推SKU、库存承接、Listing节日词、广告结构和预算上限，低相关/低库存产品不硬推。",IF($J15="二次排查","今天在二次排查窗口：补广告结构、关键词/ASIN、预算和Listing埋词。",IF($J15="临近二次","大节气二次排查即将开始：提前准备词/ASIN/图片/价格/促销，不等窗口当天才补结构。",IF($J15="一次排查","今天在一次排查窗口：先筛SKU，看历史动销、库存、利润和Listing匹配。",IF($J15="未到排查","暂不处理，等一次排查窗口。",IF($J15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15" s="42" t="n">
        <x:v>46083</x:v>
      </x:c>
      <x:c r="M15" s="42" t="n">
        <x:v>46087</x:v>
      </x:c>
      <x:c r="N15" s="42" t="n">
        <x:v>46008</x:v>
      </x:c>
      <x:c r="O15" s="42" t="n">
        <x:v>46023</x:v>
      </x:c>
      <x:c r="P15" s="42" t="n">
        <x:v>46043</x:v>
      </x:c>
      <x:c r="Q15" s="42" t="n">
        <x:v>46053</x:v>
      </x:c>
      <x:c r="R15" s="42" t="n">
        <x:v>46069</x:v>
      </x:c>
      <x:c r="S15" s="42" t="n">
        <x:v>46087</x:v>
      </x:c>
      <x:c r="T15" s="43" t="n">
        <x:f>$L15-'今日提醒'!$B$2</x:f>
        <x:v>-84</x:v>
      </x:c>
      <x:c r="U15" s="74" t="n">
        <x:f>IF(OR($J15="收尾下滑",$J15="节后清尾",$J15="节点当日",$J15="节点进行中",$J15="高频跟进",$J15="临近高频",$J15="大节气提前",$J15="二次排查",$J15="临近二次",$J15="一次排查"),IF($J15="收尾下滑",1,IF($J15="节后清尾",2,IF($J15="节点当日",3,IF($J15="节点进行中",4,IF($J15="高频跟进",5,IF($J15="临近高频",6,IF($J15="大节气提前",7,IF($J15="二次排查",8,IF($J15="临近二次",9,10)))))))))*100000+ROW(),99999999+ROW())</x:f>
        <x:v>100000014</x:v>
      </x:c>
      <x:c r="V15" s="15" t="str">
        <x:f>IF(OR($J15="收尾下滑",$J15="节后清尾"),"风险/止损",IF($J15="节点当日","机会/当日冲刺",IF($J15="节点进行中","机会/进行中",IF($J15="高频跟进","机会/高频",IF($J15="大节气提前","机会/大节气提前",IF(OR($J15="临近高频",$J15="临近二次",$J15="二次排查",$J15="一次排查"),"机会/预热","非今日"))))))</x:f>
        <x:v>非今日</x:v>
      </x:c>
      <x:c r="W15" s="15" t="str">
        <x:f>IF($J15="收尾下滑","控投/清尾/算留仓",IF($J15="节后清尾","节后降投/复盘",IF($J15="节点当日","当日冲刺/控尾流",IF($J15="节点进行中","转化监控/看趋势",IF($J15="高频跟进","放量+控ACOS",IF($J15="大节气提前","提前锁结构/预算",IF($J15="临近高频","预查结构/埋词",IF($J15="临近二次","提前补结构/埋词",IF($J15="二次排查","补结构/补词",IF($J15="一次排查","筛SKU/核库存","暂无"))))))))))</x:f>
        <x:v>暂无</x:v>
      </x:c>
      <x:c r="X15" s="15" t="str">
        <x:f>IF(AND('今日提醒'!$B$2&gt;=$L15,'今日提醒'!$B$2&lt;=$M15,$L15=$M15),"节点当日：不是预热",IF(AND('今日提醒'!$B$2&gt;=$L15,'今日提醒'!$B$2&lt;=$M15,'今日提醒'!$B$2&gt;$S15),"高频已结束但销售窗口未结束：疑似尾期/下滑",IF(AND('今日提醒'!$B$2&gt;$M15,'今日提醒'!$B$2&lt;=$S15),"节点已过但仍在清尾窗口",IF($J15="大节气提前","大节气高频前30天：提前进入主推准备",IF($J15="临近二次","大节气二次排查前14天：提前准备","")))))</x:f>
      </x:c>
    </x:row>
    <x:row r="16" ht="58" hidden="0" customHeight="1">
      <x:c r="A16" s="41" t="str">
        <x:v>School Social Work Week</x:v>
      </x:c>
      <x:c r="B16" s="41" t="str">
        <x:v>学校社工周</x:v>
      </x:c>
      <x:c r="C16" s="41" t="str">
        <x:v>表彰学校社工对学生心理、家庭和校园支持的贡献。</x:v>
      </x:c>
      <x:c r="D16" s="41" t="str">
        <x:v>2026-03-01 ~ 2026-03-07</x:v>
      </x:c>
      <x:c r="E16" s="41" t="str">
        <x:v>每年变动</x:v>
      </x:c>
      <x:c r="F16" s="41" t="str">
        <x:v>social worker gifts、school social worker感谢礼、pocket hug/卡片</x:v>
      </x:c>
      <x:c r="G16" s="41" t="str">
        <x:v>2025-12-16 ~ 2025-12-31：按职业词筛SKU，核库存、历史动销和礼品适配。</x:v>
      </x:c>
      <x:c r="H16" s="41" t="str">
        <x:v>2026-01-20 ~ 2026-01-30：建/补广告组，补关键词/ASIN，处理低效流量。</x:v>
      </x:c>
      <x:c r="I16" s="41" t="str">
        <x:v>2026-02-15 ~ 2026-03-07：高库存/高花费SKU每日看，其余2-3天看。</x:v>
      </x:c>
      <x:c r="J16" s="41" t="str">
        <x:f>IF(AND('今日提醒'!$B$2&gt;=$L16,'今日提醒'!$B$2&lt;=$M16,$L16=$M16),"节点当日",IF(AND('今日提醒'!$B$2&gt;=$L16,'今日提醒'!$B$2&lt;=$M16,'今日提醒'!$B$2&gt;$S16),"收尾下滑",IF(AND('今日提醒'!$B$2&gt;=$L16,'今日提醒'!$B$2&lt;=$M16),"节点进行中",IF(AND('今日提醒'!$B$2&gt;$M16,'今日提醒'!$B$2&lt;=$S16),"节后清尾",IF(AND('今日提醒'!$B$2&gt;=$R16,'今日提醒'!$B$2&lt;=$S16),"高频跟进",IF(AND('今日提醒'!$B$2&gt;=($R16-14),'今日提醒'!$B$2&lt;$R16,'今日提醒'!$B$2&lt;$L16),"临近高频",IF(AND(OR($A16="Chinese New Year",$A16="Super Bowl",$A16="Valentine's Day",$A16="Valentine Week",$A16="St. Patrick's Day",$A16="Easter",$A16="Graduation Season",$A16="Prom Season",$A16="Teacher Appreciation Week",$A16="Mother's Day",$A16="Memorial Day",$A16="Father's Day",$A16="Independence Day",$A16="Back-to-School Season",$A16="Labor Day",$A16="Halloween",$A16="Thanksgiving",$A16="Black Friday / Cyber Monday",$A16="Christmas",$A16="New Year's Eve / New Year Season"),'今日提醒'!$B$2&gt;=($R16-30),'今日提醒'!$B$2&lt;$R16,'今日提醒'!$B$2&lt;$L16),"大节气提前",IF(AND('今日提醒'!$B$2&gt;=$P16,'今日提醒'!$B$2&lt;=$Q16),"二次排查",IF(AND(OR($A16="Chinese New Year",$A16="Super Bowl",$A16="Valentine's Day",$A16="Valentine Week",$A16="St. Patrick's Day",$A16="Easter",$A16="Graduation Season",$A16="Prom Season",$A16="Teacher Appreciation Week",$A16="Mother's Day",$A16="Memorial Day",$A16="Father's Day",$A16="Independence Day",$A16="Back-to-School Season",$A16="Labor Day",$A16="Halloween",$A16="Thanksgiving",$A16="Black Friday / Cyber Monday",$A16="Christmas",$A16="New Year's Eve / New Year Season"),'今日提醒'!$B$2&gt;=($P16-14),'今日提醒'!$B$2&lt;$P16,'今日提醒'!$B$2&lt;$L16),"临近二次",IF(AND('今日提醒'!$B$2&gt;=$N16,'今日提醒'!$B$2&lt;=$O16),"一次排查",IF('今日提醒'!$B$2&lt;$N16,"未到排查",IF('今日提醒'!$B$2&lt;$L16,"等待下一窗口","已过"))))))))))))</x:f>
        <x:v>已过</x:v>
      </x:c>
      <x:c r="K16" s="41" t="str">
        <x:f>IF($J16="收尾下滑","主购买/高频窗口已过，流量可能走弱：不要盲目加预算或新建组；优先看库存压力、ACOS、广告占比、自然单，仅保留高转化词，计算清货/留仓。",IF($J16="节后清尾","节点已过但仍在清尾窗口：控低效词、降无效预算，复盘转化词；库存重则算清货，库存轻则吃完尾流。",IF($J16="节点当日","今天就是节点当日：优先看转化、库存承接、广告花费和尾流风险；可以吃最后一波有效流量，但不要再大范围新建或盲目加预算。",IF($J16="节点进行中","当前在节点/销售窗口内：这是进行中，不是预热；重点看销量、库存承接、广告花费、转化和是否已出现流量下滑。",IF($J16="高频跟进","今天在高频跟进窗口：头部SKU每日看；重点看高库存、高花费、断货风险和ACOS。",IF($J16="临近高频","高频窗口即将开始：今天先预查广告结构、关键词/ASIN、Listing埋词、库存承接和预算，避免临近节点再补。",IF($J16="大节气提前","大节气提前窗口：不要等高频当天再动；今天先锁定主推SKU、库存承接、Listing节日词、广告结构和预算上限，低相关/低库存产品不硬推。",IF($J16="二次排查","今天在二次排查窗口：补广告结构、关键词/ASIN、预算和Listing埋词。",IF($J16="临近二次","大节气二次排查即将开始：提前准备词/ASIN/图片/价格/促销，不等窗口当天才补结构。",IF($J16="一次排查","今天在一次排查窗口：先筛SKU，看历史动销、库存、利润和Listing匹配。",IF($J16="未到排查","暂不处理，等一次排查窗口。",IF($J16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16" s="42" t="n">
        <x:v>46082</x:v>
      </x:c>
      <x:c r="M16" s="42" t="n">
        <x:v>46088</x:v>
      </x:c>
      <x:c r="N16" s="42" t="n">
        <x:v>46007</x:v>
      </x:c>
      <x:c r="O16" s="42" t="n">
        <x:v>46022</x:v>
      </x:c>
      <x:c r="P16" s="42" t="n">
        <x:v>46042</x:v>
      </x:c>
      <x:c r="Q16" s="42" t="n">
        <x:v>46052</x:v>
      </x:c>
      <x:c r="R16" s="42" t="n">
        <x:v>46068</x:v>
      </x:c>
      <x:c r="S16" s="42" t="n">
        <x:v>46088</x:v>
      </x:c>
      <x:c r="T16" s="43" t="n">
        <x:f>$L16-'今日提醒'!$B$2</x:f>
        <x:v>-85</x:v>
      </x:c>
      <x:c r="U16" s="74" t="n">
        <x:f>IF(OR($J16="收尾下滑",$J16="节后清尾",$J16="节点当日",$J16="节点进行中",$J16="高频跟进",$J16="临近高频",$J16="大节气提前",$J16="二次排查",$J16="临近二次",$J16="一次排查"),IF($J16="收尾下滑",1,IF($J16="节后清尾",2,IF($J16="节点当日",3,IF($J16="节点进行中",4,IF($J16="高频跟进",5,IF($J16="临近高频",6,IF($J16="大节气提前",7,IF($J16="二次排查",8,IF($J16="临近二次",9,10)))))))))*100000+ROW(),99999999+ROW())</x:f>
        <x:v>100000015</x:v>
      </x:c>
      <x:c r="V16" s="15" t="str">
        <x:f>IF(OR($J16="收尾下滑",$J16="节后清尾"),"风险/止损",IF($J16="节点当日","机会/当日冲刺",IF($J16="节点进行中","机会/进行中",IF($J16="高频跟进","机会/高频",IF($J16="大节气提前","机会/大节气提前",IF(OR($J16="临近高频",$J16="临近二次",$J16="二次排查",$J16="一次排查"),"机会/预热","非今日"))))))</x:f>
        <x:v>非今日</x:v>
      </x:c>
      <x:c r="W16" s="15" t="str">
        <x:f>IF($J16="收尾下滑","控投/清尾/算留仓",IF($J16="节后清尾","节后降投/复盘",IF($J16="节点当日","当日冲刺/控尾流",IF($J16="节点进行中","转化监控/看趋势",IF($J16="高频跟进","放量+控ACOS",IF($J16="大节气提前","提前锁结构/预算",IF($J16="临近高频","预查结构/埋词",IF($J16="临近二次","提前补结构/埋词",IF($J16="二次排查","补结构/补词",IF($J16="一次排查","筛SKU/核库存","暂无"))))))))))</x:f>
        <x:v>暂无</x:v>
      </x:c>
      <x:c r="X16" s="15" t="str">
        <x:f>IF(AND('今日提醒'!$B$2&gt;=$L16,'今日提醒'!$B$2&lt;=$M16,$L16=$M16),"节点当日：不是预热",IF(AND('今日提醒'!$B$2&gt;=$L16,'今日提醒'!$B$2&lt;=$M16,'今日提醒'!$B$2&gt;$S16),"高频已结束但销售窗口未结束：疑似尾期/下滑",IF(AND('今日提醒'!$B$2&gt;$M16,'今日提醒'!$B$2&lt;=$S16),"节点已过但仍在清尾窗口",IF($J16="大节气提前","大节气高频前30天：提前进入主推准备",IF($J16="临近二次","大节气二次排查前14天：提前准备","")))))</x:f>
      </x:c>
    </x:row>
    <x:row r="17" ht="58" hidden="0" customHeight="1">
      <x:c r="A17" s="41" t="str">
        <x:v>Dental Assistants Recognition Week</x:v>
      </x:c>
      <x:c r="B17" s="41" t="str">
        <x:v>牙科助理表彰周</x:v>
      </x:c>
      <x:c r="C17" s="41" t="str">
        <x:v>表彰牙科助理，适合牙科诊所团队感谢礼、杯子、徽章等。</x:v>
      </x:c>
      <x:c r="D17" s="41" t="str">
        <x:v>2026-03-01 ~ 2026-03-07</x:v>
      </x:c>
      <x:c r="E17" s="41" t="str">
        <x:v>每年变动</x:v>
      </x:c>
      <x:c r="F17" s="41" t="str">
        <x:v>dental assistant gifts、牙齿元素钥匙扣、诊所感谢礼</x:v>
      </x:c>
      <x:c r="G17" s="41" t="str">
        <x:v>2025-12-16 ~ 2025-12-31：按职业词筛SKU，核库存、历史动销和礼品适配。</x:v>
      </x:c>
      <x:c r="H17" s="41" t="str">
        <x:v>2026-01-20 ~ 2026-01-30：建/补广告组，补关键词/ASIN，处理低效流量。</x:v>
      </x:c>
      <x:c r="I17" s="41" t="str">
        <x:v>2026-02-15 ~ 2026-03-07：高库存/高花费SKU每日看，其余2-3天看。</x:v>
      </x:c>
      <x:c r="J17" s="41" t="str">
        <x:f>IF(AND('今日提醒'!$B$2&gt;=$L17,'今日提醒'!$B$2&lt;=$M17,$L17=$M17),"节点当日",IF(AND('今日提醒'!$B$2&gt;=$L17,'今日提醒'!$B$2&lt;=$M17,'今日提醒'!$B$2&gt;$S17),"收尾下滑",IF(AND('今日提醒'!$B$2&gt;=$L17,'今日提醒'!$B$2&lt;=$M17),"节点进行中",IF(AND('今日提醒'!$B$2&gt;$M17,'今日提醒'!$B$2&lt;=$S17),"节后清尾",IF(AND('今日提醒'!$B$2&gt;=$R17,'今日提醒'!$B$2&lt;=$S17),"高频跟进",IF(AND('今日提醒'!$B$2&gt;=($R17-14),'今日提醒'!$B$2&lt;$R17,'今日提醒'!$B$2&lt;$L17),"临近高频",IF(AND(OR($A17="Chinese New Year",$A17="Super Bowl",$A17="Valentine's Day",$A17="Valentine Week",$A17="St. Patrick's Day",$A17="Easter",$A17="Graduation Season",$A17="Prom Season",$A17="Teacher Appreciation Week",$A17="Mother's Day",$A17="Memorial Day",$A17="Father's Day",$A17="Independence Day",$A17="Back-to-School Season",$A17="Labor Day",$A17="Halloween",$A17="Thanksgiving",$A17="Black Friday / Cyber Monday",$A17="Christmas",$A17="New Year's Eve / New Year Season"),'今日提醒'!$B$2&gt;=($R17-30),'今日提醒'!$B$2&lt;$R17,'今日提醒'!$B$2&lt;$L17),"大节气提前",IF(AND('今日提醒'!$B$2&gt;=$P17,'今日提醒'!$B$2&lt;=$Q17),"二次排查",IF(AND(OR($A17="Chinese New Year",$A17="Super Bowl",$A17="Valentine's Day",$A17="Valentine Week",$A17="St. Patrick's Day",$A17="Easter",$A17="Graduation Season",$A17="Prom Season",$A17="Teacher Appreciation Week",$A17="Mother's Day",$A17="Memorial Day",$A17="Father's Day",$A17="Independence Day",$A17="Back-to-School Season",$A17="Labor Day",$A17="Halloween",$A17="Thanksgiving",$A17="Black Friday / Cyber Monday",$A17="Christmas",$A17="New Year's Eve / New Year Season"),'今日提醒'!$B$2&gt;=($P17-14),'今日提醒'!$B$2&lt;$P17,'今日提醒'!$B$2&lt;$L17),"临近二次",IF(AND('今日提醒'!$B$2&gt;=$N17,'今日提醒'!$B$2&lt;=$O17),"一次排查",IF('今日提醒'!$B$2&lt;$N17,"未到排查",IF('今日提醒'!$B$2&lt;$L17,"等待下一窗口","已过"))))))))))))</x:f>
        <x:v>已过</x:v>
      </x:c>
      <x:c r="K17" s="41" t="str">
        <x:f>IF($J17="收尾下滑","主购买/高频窗口已过，流量可能走弱：不要盲目加预算或新建组；优先看库存压力、ACOS、广告占比、自然单，仅保留高转化词，计算清货/留仓。",IF($J17="节后清尾","节点已过但仍在清尾窗口：控低效词、降无效预算，复盘转化词；库存重则算清货，库存轻则吃完尾流。",IF($J17="节点当日","今天就是节点当日：优先看转化、库存承接、广告花费和尾流风险；可以吃最后一波有效流量，但不要再大范围新建或盲目加预算。",IF($J17="节点进行中","当前在节点/销售窗口内：这是进行中，不是预热；重点看销量、库存承接、广告花费、转化和是否已出现流量下滑。",IF($J17="高频跟进","今天在高频跟进窗口：头部SKU每日看；重点看高库存、高花费、断货风险和ACOS。",IF($J17="临近高频","高频窗口即将开始：今天先预查广告结构、关键词/ASIN、Listing埋词、库存承接和预算，避免临近节点再补。",IF($J17="大节气提前","大节气提前窗口：不要等高频当天再动；今天先锁定主推SKU、库存承接、Listing节日词、广告结构和预算上限，低相关/低库存产品不硬推。",IF($J17="二次排查","今天在二次排查窗口：补广告结构、关键词/ASIN、预算和Listing埋词。",IF($J17="临近二次","大节气二次排查即将开始：提前准备词/ASIN/图片/价格/促销，不等窗口当天才补结构。",IF($J17="一次排查","今天在一次排查窗口：先筛SKU，看历史动销、库存、利润和Listing匹配。",IF($J17="未到排查","暂不处理，等一次排查窗口。",IF($J17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17" s="42" t="n">
        <x:v>46082</x:v>
      </x:c>
      <x:c r="M17" s="42" t="n">
        <x:v>46088</x:v>
      </x:c>
      <x:c r="N17" s="42" t="n">
        <x:v>46007</x:v>
      </x:c>
      <x:c r="O17" s="42" t="n">
        <x:v>46022</x:v>
      </x:c>
      <x:c r="P17" s="42" t="n">
        <x:v>46042</x:v>
      </x:c>
      <x:c r="Q17" s="42" t="n">
        <x:v>46052</x:v>
      </x:c>
      <x:c r="R17" s="42" t="n">
        <x:v>46068</x:v>
      </x:c>
      <x:c r="S17" s="42" t="n">
        <x:v>46088</x:v>
      </x:c>
      <x:c r="T17" s="43" t="n">
        <x:f>$L17-'今日提醒'!$B$2</x:f>
        <x:v>-85</x:v>
      </x:c>
      <x:c r="U17" s="74" t="n">
        <x:f>IF(OR($J17="收尾下滑",$J17="节后清尾",$J17="节点当日",$J17="节点进行中",$J17="高频跟进",$J17="临近高频",$J17="大节气提前",$J17="二次排查",$J17="临近二次",$J17="一次排查"),IF($J17="收尾下滑",1,IF($J17="节后清尾",2,IF($J17="节点当日",3,IF($J17="节点进行中",4,IF($J17="高频跟进",5,IF($J17="临近高频",6,IF($J17="大节气提前",7,IF($J17="二次排查",8,IF($J17="临近二次",9,10)))))))))*100000+ROW(),99999999+ROW())</x:f>
        <x:v>100000016</x:v>
      </x:c>
      <x:c r="V17" s="15" t="str">
        <x:f>IF(OR($J17="收尾下滑",$J17="节后清尾"),"风险/止损",IF($J17="节点当日","机会/当日冲刺",IF($J17="节点进行中","机会/进行中",IF($J17="高频跟进","机会/高频",IF($J17="大节气提前","机会/大节气提前",IF(OR($J17="临近高频",$J17="临近二次",$J17="二次排查",$J17="一次排查"),"机会/预热","非今日"))))))</x:f>
        <x:v>非今日</x:v>
      </x:c>
      <x:c r="W17" s="15" t="str">
        <x:f>IF($J17="收尾下滑","控投/清尾/算留仓",IF($J17="节后清尾","节后降投/复盘",IF($J17="节点当日","当日冲刺/控尾流",IF($J17="节点进行中","转化监控/看趋势",IF($J17="高频跟进","放量+控ACOS",IF($J17="大节气提前","提前锁结构/预算",IF($J17="临近高频","预查结构/埋词",IF($J17="临近二次","提前补结构/埋词",IF($J17="二次排查","补结构/补词",IF($J17="一次排查","筛SKU/核库存","暂无"))))))))))</x:f>
        <x:v>暂无</x:v>
      </x:c>
      <x:c r="X17" s="15" t="str">
        <x:f>IF(AND('今日提醒'!$B$2&gt;=$L17,'今日提醒'!$B$2&lt;=$M17,$L17=$M17),"节点当日：不是预热",IF(AND('今日提醒'!$B$2&gt;=$L17,'今日提醒'!$B$2&lt;=$M17,'今日提醒'!$B$2&gt;$S17),"高频已结束但销售窗口未结束：疑似尾期/下滑",IF(AND('今日提醒'!$B$2&gt;$M17,'今日提醒'!$B$2&lt;=$S17),"节点已过但仍在清尾窗口",IF($J17="大节气提前","大节气高频前30天：提前进入主推准备",IF($J17="临近二次","大节气二次排查前14天：提前准备","")))))</x:f>
      </x:c>
    </x:row>
    <x:row r="18" ht="58" hidden="0" customHeight="1">
      <x:c r="A18" s="41" t="str">
        <x:v>Caregiver Appreciation Day</x:v>
      </x:c>
      <x:c r="B18" s="41" t="str">
        <x:v>护理照护者感谢日</x:v>
      </x:c>
      <x:c r="C18" s="41" t="str">
        <x:v>面向看护者、护理员、家庭照护者的感谢节点，适合暖心小礼品。</x:v>
      </x:c>
      <x:c r="D18" s="41" t="str">
        <x:v>2026-03-03</x:v>
      </x:c>
      <x:c r="E18" s="41" t="str">
        <x:v>口径需复核：按截图口径</x:v>
      </x:c>
      <x:c r="F18" s="41" t="str">
        <x:v>caregiver gifts、护理关怀卡、pocket hug、感谢钥匙扣</x:v>
      </x:c>
      <x:c r="G18" s="41" t="str">
        <x:v>2026-01-02 ~ 2026-01-17：先筛匹配SKU、历史销量、库存和利润空间。</x:v>
      </x:c>
      <x:c r="H18" s="41" t="str">
        <x:v>2026-02-01 ~ 2026-02-10：补关键词/ASIN、Listing埋词和广告预算。</x:v>
      </x:c>
      <x:c r="I18" s="41" t="str">
        <x:v>2026-02-17 ~ 2026-03-05：重点SKU每日看，普通SKU每2-3天看。</x:v>
      </x:c>
      <x:c r="J18" s="41" t="str">
        <x:f>IF(AND('今日提醒'!$B$2&gt;=$L18,'今日提醒'!$B$2&lt;=$M18,$L18=$M18),"节点当日",IF(AND('今日提醒'!$B$2&gt;=$L18,'今日提醒'!$B$2&lt;=$M18,'今日提醒'!$B$2&gt;$S18),"收尾下滑",IF(AND('今日提醒'!$B$2&gt;=$L18,'今日提醒'!$B$2&lt;=$M18),"节点进行中",IF(AND('今日提醒'!$B$2&gt;$M18,'今日提醒'!$B$2&lt;=$S18),"节后清尾",IF(AND('今日提醒'!$B$2&gt;=$R18,'今日提醒'!$B$2&lt;=$S18),"高频跟进",IF(AND('今日提醒'!$B$2&gt;=($R18-14),'今日提醒'!$B$2&lt;$R18,'今日提醒'!$B$2&lt;$L18),"临近高频",IF(AND(OR($A18="Chinese New Year",$A18="Super Bowl",$A18="Valentine's Day",$A18="Valentine Week",$A18="St. Patrick's Day",$A18="Easter",$A18="Graduation Season",$A18="Prom Season",$A18="Teacher Appreciation Week",$A18="Mother's Day",$A18="Memorial Day",$A18="Father's Day",$A18="Independence Day",$A18="Back-to-School Season",$A18="Labor Day",$A18="Halloween",$A18="Thanksgiving",$A18="Black Friday / Cyber Monday",$A18="Christmas",$A18="New Year's Eve / New Year Season"),'今日提醒'!$B$2&gt;=($R18-30),'今日提醒'!$B$2&lt;$R18,'今日提醒'!$B$2&lt;$L18),"大节气提前",IF(AND('今日提醒'!$B$2&gt;=$P18,'今日提醒'!$B$2&lt;=$Q18),"二次排查",IF(AND(OR($A18="Chinese New Year",$A18="Super Bowl",$A18="Valentine's Day",$A18="Valentine Week",$A18="St. Patrick's Day",$A18="Easter",$A18="Graduation Season",$A18="Prom Season",$A18="Teacher Appreciation Week",$A18="Mother's Day",$A18="Memorial Day",$A18="Father's Day",$A18="Independence Day",$A18="Back-to-School Season",$A18="Labor Day",$A18="Halloween",$A18="Thanksgiving",$A18="Black Friday / Cyber Monday",$A18="Christmas",$A18="New Year's Eve / New Year Season"),'今日提醒'!$B$2&gt;=($P18-14),'今日提醒'!$B$2&lt;$P18,'今日提醒'!$B$2&lt;$L18),"临近二次",IF(AND('今日提醒'!$B$2&gt;=$N18,'今日提醒'!$B$2&lt;=$O18),"一次排查",IF('今日提醒'!$B$2&lt;$N18,"未到排查",IF('今日提醒'!$B$2&lt;$L18,"等待下一窗口","已过"))))))))))))</x:f>
        <x:v>已过</x:v>
      </x:c>
      <x:c r="K18" s="41" t="str">
        <x:f>IF($J18="收尾下滑","主购买/高频窗口已过，流量可能走弱：不要盲目加预算或新建组；优先看库存压力、ACOS、广告占比、自然单，仅保留高转化词，计算清货/留仓。",IF($J18="节后清尾","节点已过但仍在清尾窗口：控低效词、降无效预算，复盘转化词；库存重则算清货，库存轻则吃完尾流。",IF($J18="节点当日","今天就是节点当日：优先看转化、库存承接、广告花费和尾流风险；可以吃最后一波有效流量，但不要再大范围新建或盲目加预算。",IF($J18="节点进行中","当前在节点/销售窗口内：这是进行中，不是预热；重点看销量、库存承接、广告花费、转化和是否已出现流量下滑。",IF($J18="高频跟进","今天在高频跟进窗口：头部SKU每日看；重点看高库存、高花费、断货风险和ACOS。",IF($J18="临近高频","高频窗口即将开始：今天先预查广告结构、关键词/ASIN、Listing埋词、库存承接和预算，避免临近节点再补。",IF($J18="大节气提前","大节气提前窗口：不要等高频当天再动；今天先锁定主推SKU、库存承接、Listing节日词、广告结构和预算上限，低相关/低库存产品不硬推。",IF($J18="二次排查","今天在二次排查窗口：补广告结构、关键词/ASIN、预算和Listing埋词。",IF($J18="临近二次","大节气二次排查即将开始：提前准备词/ASIN/图片/价格/促销，不等窗口当天才补结构。",IF($J18="一次排查","今天在一次排查窗口：先筛SKU，看历史动销、库存、利润和Listing匹配。",IF($J18="未到排查","暂不处理，等一次排查窗口。",IF($J18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18" s="42" t="n">
        <x:v>46084</x:v>
      </x:c>
      <x:c r="M18" s="42" t="n">
        <x:v>46084</x:v>
      </x:c>
      <x:c r="N18" s="42" t="n">
        <x:v>46024</x:v>
      </x:c>
      <x:c r="O18" s="42" t="n">
        <x:v>46039</x:v>
      </x:c>
      <x:c r="P18" s="42" t="n">
        <x:v>46054</x:v>
      </x:c>
      <x:c r="Q18" s="42" t="n">
        <x:v>46063</x:v>
      </x:c>
      <x:c r="R18" s="42" t="n">
        <x:v>46070</x:v>
      </x:c>
      <x:c r="S18" s="42" t="n">
        <x:v>46086</x:v>
      </x:c>
      <x:c r="T18" s="43" t="n">
        <x:f>$L18-'今日提醒'!$B$2</x:f>
        <x:v>-83</x:v>
      </x:c>
      <x:c r="U18" s="74" t="n">
        <x:f>IF(OR($J18="收尾下滑",$J18="节后清尾",$J18="节点当日",$J18="节点进行中",$J18="高频跟进",$J18="临近高频",$J18="大节气提前",$J18="二次排查",$J18="临近二次",$J18="一次排查"),IF($J18="收尾下滑",1,IF($J18="节后清尾",2,IF($J18="节点当日",3,IF($J18="节点进行中",4,IF($J18="高频跟进",5,IF($J18="临近高频",6,IF($J18="大节气提前",7,IF($J18="二次排查",8,IF($J18="临近二次",9,10)))))))))*100000+ROW(),99999999+ROW())</x:f>
        <x:v>100000017</x:v>
      </x:c>
      <x:c r="V18" s="15" t="str">
        <x:f>IF(OR($J18="收尾下滑",$J18="节后清尾"),"风险/止损",IF($J18="节点当日","机会/当日冲刺",IF($J18="节点进行中","机会/进行中",IF($J18="高频跟进","机会/高频",IF($J18="大节气提前","机会/大节气提前",IF(OR($J18="临近高频",$J18="临近二次",$J18="二次排查",$J18="一次排查"),"机会/预热","非今日"))))))</x:f>
        <x:v>非今日</x:v>
      </x:c>
      <x:c r="W18" s="15" t="str">
        <x:f>IF($J18="收尾下滑","控投/清尾/算留仓",IF($J18="节后清尾","节后降投/复盘",IF($J18="节点当日","当日冲刺/控尾流",IF($J18="节点进行中","转化监控/看趋势",IF($J18="高频跟进","放量+控ACOS",IF($J18="大节气提前","提前锁结构/预算",IF($J18="临近高频","预查结构/埋词",IF($J18="临近二次","提前补结构/埋词",IF($J18="二次排查","补结构/补词",IF($J18="一次排查","筛SKU/核库存","暂无"))))))))))</x:f>
        <x:v>暂无</x:v>
      </x:c>
      <x:c r="X18" s="15" t="str">
        <x:f>IF(AND('今日提醒'!$B$2&gt;=$L18,'今日提醒'!$B$2&lt;=$M18,$L18=$M18),"节点当日：不是预热",IF(AND('今日提醒'!$B$2&gt;=$L18,'今日提醒'!$B$2&lt;=$M18,'今日提醒'!$B$2&gt;$S18),"高频已结束但销售窗口未结束：疑似尾期/下滑",IF(AND('今日提醒'!$B$2&gt;$M18,'今日提醒'!$B$2&lt;=$S18),"节点已过但仍在清尾窗口",IF($J18="大节气提前","大节气高频前30天：提前进入主推准备",IF($J18="临近二次","大节气二次排查前14天：提前准备","")))))</x:f>
      </x:c>
    </x:row>
    <x:row r="19" ht="58" hidden="0" customHeight="1">
      <x:c r="A19" s="41" t="str">
        <x:v>HR Professionals Week</x:v>
      </x:c>
      <x:c r="B19" s="41" t="str">
        <x:v>人力资源专业人员周</x:v>
      </x:c>
      <x:c r="C19" s="41" t="str">
        <x:v>用于感谢HR团队和办公室行政支持人员，适合职场感谢礼。</x:v>
      </x:c>
      <x:c r="D19" s="41" t="str">
        <x:v>2026-03-03 ~ 2026-03-09</x:v>
      </x:c>
      <x:c r="E19" s="41" t="str">
        <x:v>口径需复核：按截图口径</x:v>
      </x:c>
      <x:c r="F19" s="41" t="str">
        <x:v>office appreciation gifts、admin/HR/employee bulk gifts、感谢卡/杯子</x:v>
      </x:c>
      <x:c r="G19" s="41" t="str">
        <x:v>2025-12-18 ~ 2026-01-02：按职业词筛SKU，核库存、历史动销和礼品适配。</x:v>
      </x:c>
      <x:c r="H19" s="41" t="str">
        <x:v>2026-01-22 ~ 2026-02-01：建/补广告组，补关键词/ASIN，处理低效流量。</x:v>
      </x:c>
      <x:c r="I19" s="41" t="str">
        <x:v>2026-02-17 ~ 2026-03-09：高库存/高花费SKU每日看，其余2-3天看。</x:v>
      </x:c>
      <x:c r="J19" s="41" t="str">
        <x:f>IF(AND('今日提醒'!$B$2&gt;=$L19,'今日提醒'!$B$2&lt;=$M19,$L19=$M19),"节点当日",IF(AND('今日提醒'!$B$2&gt;=$L19,'今日提醒'!$B$2&lt;=$M19,'今日提醒'!$B$2&gt;$S19),"收尾下滑",IF(AND('今日提醒'!$B$2&gt;=$L19,'今日提醒'!$B$2&lt;=$M19),"节点进行中",IF(AND('今日提醒'!$B$2&gt;$M19,'今日提醒'!$B$2&lt;=$S19),"节后清尾",IF(AND('今日提醒'!$B$2&gt;=$R19,'今日提醒'!$B$2&lt;=$S19),"高频跟进",IF(AND('今日提醒'!$B$2&gt;=($R19-14),'今日提醒'!$B$2&lt;$R19,'今日提醒'!$B$2&lt;$L19),"临近高频",IF(AND(OR($A19="Chinese New Year",$A19="Super Bowl",$A19="Valentine's Day",$A19="Valentine Week",$A19="St. Patrick's Day",$A19="Easter",$A19="Graduation Season",$A19="Prom Season",$A19="Teacher Appreciation Week",$A19="Mother's Day",$A19="Memorial Day",$A19="Father's Day",$A19="Independence Day",$A19="Back-to-School Season",$A19="Labor Day",$A19="Halloween",$A19="Thanksgiving",$A19="Black Friday / Cyber Monday",$A19="Christmas",$A19="New Year's Eve / New Year Season"),'今日提醒'!$B$2&gt;=($R19-30),'今日提醒'!$B$2&lt;$R19,'今日提醒'!$B$2&lt;$L19),"大节气提前",IF(AND('今日提醒'!$B$2&gt;=$P19,'今日提醒'!$B$2&lt;=$Q19),"二次排查",IF(AND(OR($A19="Chinese New Year",$A19="Super Bowl",$A19="Valentine's Day",$A19="Valentine Week",$A19="St. Patrick's Day",$A19="Easter",$A19="Graduation Season",$A19="Prom Season",$A19="Teacher Appreciation Week",$A19="Mother's Day",$A19="Memorial Day",$A19="Father's Day",$A19="Independence Day",$A19="Back-to-School Season",$A19="Labor Day",$A19="Halloween",$A19="Thanksgiving",$A19="Black Friday / Cyber Monday",$A19="Christmas",$A19="New Year's Eve / New Year Season"),'今日提醒'!$B$2&gt;=($P19-14),'今日提醒'!$B$2&lt;$P19,'今日提醒'!$B$2&lt;$L19),"临近二次",IF(AND('今日提醒'!$B$2&gt;=$N19,'今日提醒'!$B$2&lt;=$O19),"一次排查",IF('今日提醒'!$B$2&lt;$N19,"未到排查",IF('今日提醒'!$B$2&lt;$L19,"等待下一窗口","已过"))))))))))))</x:f>
        <x:v>已过</x:v>
      </x:c>
      <x:c r="K19" s="41" t="str">
        <x:f>IF($J19="收尾下滑","主购买/高频窗口已过，流量可能走弱：不要盲目加预算或新建组；优先看库存压力、ACOS、广告占比、自然单，仅保留高转化词，计算清货/留仓。",IF($J19="节后清尾","节点已过但仍在清尾窗口：控低效词、降无效预算，复盘转化词；库存重则算清货，库存轻则吃完尾流。",IF($J19="节点当日","今天就是节点当日：优先看转化、库存承接、广告花费和尾流风险；可以吃最后一波有效流量，但不要再大范围新建或盲目加预算。",IF($J19="节点进行中","当前在节点/销售窗口内：这是进行中，不是预热；重点看销量、库存承接、广告花费、转化和是否已出现流量下滑。",IF($J19="高频跟进","今天在高频跟进窗口：头部SKU每日看；重点看高库存、高花费、断货风险和ACOS。",IF($J19="临近高频","高频窗口即将开始：今天先预查广告结构、关键词/ASIN、Listing埋词、库存承接和预算，避免临近节点再补。",IF($J19="大节气提前","大节气提前窗口：不要等高频当天再动；今天先锁定主推SKU、库存承接、Listing节日词、广告结构和预算上限，低相关/低库存产品不硬推。",IF($J19="二次排查","今天在二次排查窗口：补广告结构、关键词/ASIN、预算和Listing埋词。",IF($J19="临近二次","大节气二次排查即将开始：提前准备词/ASIN/图片/价格/促销，不等窗口当天才补结构。",IF($J19="一次排查","今天在一次排查窗口：先筛SKU，看历史动销、库存、利润和Listing匹配。",IF($J19="未到排查","暂不处理，等一次排查窗口。",IF($J19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19" s="42" t="n">
        <x:v>46084</x:v>
      </x:c>
      <x:c r="M19" s="42" t="n">
        <x:v>46090</x:v>
      </x:c>
      <x:c r="N19" s="42" t="n">
        <x:v>46009</x:v>
      </x:c>
      <x:c r="O19" s="42" t="n">
        <x:v>46024</x:v>
      </x:c>
      <x:c r="P19" s="42" t="n">
        <x:v>46044</x:v>
      </x:c>
      <x:c r="Q19" s="42" t="n">
        <x:v>46054</x:v>
      </x:c>
      <x:c r="R19" s="42" t="n">
        <x:v>46070</x:v>
      </x:c>
      <x:c r="S19" s="42" t="n">
        <x:v>46090</x:v>
      </x:c>
      <x:c r="T19" s="43" t="n">
        <x:f>$L19-'今日提醒'!$B$2</x:f>
        <x:v>-83</x:v>
      </x:c>
      <x:c r="U19" s="74" t="n">
        <x:f>IF(OR($J19="收尾下滑",$J19="节后清尾",$J19="节点当日",$J19="节点进行中",$J19="高频跟进",$J19="临近高频",$J19="大节气提前",$J19="二次排查",$J19="临近二次",$J19="一次排查"),IF($J19="收尾下滑",1,IF($J19="节后清尾",2,IF($J19="节点当日",3,IF($J19="节点进行中",4,IF($J19="高频跟进",5,IF($J19="临近高频",6,IF($J19="大节气提前",7,IF($J19="二次排查",8,IF($J19="临近二次",9,10)))))))))*100000+ROW(),99999999+ROW())</x:f>
        <x:v>100000018</x:v>
      </x:c>
      <x:c r="V19" s="15" t="str">
        <x:f>IF(OR($J19="收尾下滑",$J19="节后清尾"),"风险/止损",IF($J19="节点当日","机会/当日冲刺",IF($J19="节点进行中","机会/进行中",IF($J19="高频跟进","机会/高频",IF($J19="大节气提前","机会/大节气提前",IF(OR($J19="临近高频",$J19="临近二次",$J19="二次排查",$J19="一次排查"),"机会/预热","非今日"))))))</x:f>
        <x:v>非今日</x:v>
      </x:c>
      <x:c r="W19" s="15" t="str">
        <x:f>IF($J19="收尾下滑","控投/清尾/算留仓",IF($J19="节后清尾","节后降投/复盘",IF($J19="节点当日","当日冲刺/控尾流",IF($J19="节点进行中","转化监控/看趋势",IF($J19="高频跟进","放量+控ACOS",IF($J19="大节气提前","提前锁结构/预算",IF($J19="临近高频","预查结构/埋词",IF($J19="临近二次","提前补结构/埋词",IF($J19="二次排查","补结构/补词",IF($J19="一次排查","筛SKU/核库存","暂无"))))))))))</x:f>
        <x:v>暂无</x:v>
      </x:c>
      <x:c r="X19" s="15" t="str">
        <x:f>IF(AND('今日提醒'!$B$2&gt;=$L19,'今日提醒'!$B$2&lt;=$M19,$L19=$M19),"节点当日：不是预热",IF(AND('今日提醒'!$B$2&gt;=$L19,'今日提醒'!$B$2&lt;=$M19,'今日提醒'!$B$2&gt;$S19),"高频已结束但销售窗口未结束：疑似尾期/下滑",IF(AND('今日提醒'!$B$2&gt;$M19,'今日提醒'!$B$2&lt;=$S19),"节点已过但仍在清尾窗口",IF($J19="大节气提前","大节气高频前30天：提前进入主推准备",IF($J19="临近二次","大节气二次排查前14天：提前准备","")))))</x:f>
      </x:c>
    </x:row>
    <x:row r="20" ht="58" hidden="0" customHeight="1">
      <x:c r="A20" s="41" t="str">
        <x:v>Employee Appreciation Day</x:v>
      </x:c>
      <x:c r="B20" s="41" t="str">
        <x:v>员工感谢日</x:v>
      </x:c>
      <x:c r="C20" s="41" t="str">
        <x:v>企业感谢员工的职场节点，适合批量员工礼品、桌面小物、感谢卡。</x:v>
      </x:c>
      <x:c r="D20" s="41" t="str">
        <x:v>2026-03-06</x:v>
      </x:c>
      <x:c r="E20" s="41" t="str">
        <x:v>每年变动</x:v>
      </x:c>
      <x:c r="F20" s="41" t="str">
        <x:v>office appreciation gifts、admin/HR/employee bulk gifts、感谢卡/杯子</x:v>
      </x:c>
      <x:c r="G20" s="41" t="str">
        <x:v>2026-01-05 ~ 2026-01-20：先筛匹配SKU、历史销量、库存和利润空间。</x:v>
      </x:c>
      <x:c r="H20" s="41" t="str">
        <x:v>2026-02-04 ~ 2026-02-13：补关键词/ASIN、Listing埋词和广告预算。</x:v>
      </x:c>
      <x:c r="I20" s="41" t="str">
        <x:v>2026-02-20 ~ 2026-03-08：重点SKU每日看，普通SKU每2-3天看。</x:v>
      </x:c>
      <x:c r="J20" s="41" t="str">
        <x:f>IF(AND('今日提醒'!$B$2&gt;=$L20,'今日提醒'!$B$2&lt;=$M20,$L20=$M20),"节点当日",IF(AND('今日提醒'!$B$2&gt;=$L20,'今日提醒'!$B$2&lt;=$M20,'今日提醒'!$B$2&gt;$S20),"收尾下滑",IF(AND('今日提醒'!$B$2&gt;=$L20,'今日提醒'!$B$2&lt;=$M20),"节点进行中",IF(AND('今日提醒'!$B$2&gt;$M20,'今日提醒'!$B$2&lt;=$S20),"节后清尾",IF(AND('今日提醒'!$B$2&gt;=$R20,'今日提醒'!$B$2&lt;=$S20),"高频跟进",IF(AND('今日提醒'!$B$2&gt;=($R20-14),'今日提醒'!$B$2&lt;$R20,'今日提醒'!$B$2&lt;$L20),"临近高频",IF(AND(OR($A20="Chinese New Year",$A20="Super Bowl",$A20="Valentine's Day",$A20="Valentine Week",$A20="St. Patrick's Day",$A20="Easter",$A20="Graduation Season",$A20="Prom Season",$A20="Teacher Appreciation Week",$A20="Mother's Day",$A20="Memorial Day",$A20="Father's Day",$A20="Independence Day",$A20="Back-to-School Season",$A20="Labor Day",$A20="Halloween",$A20="Thanksgiving",$A20="Black Friday / Cyber Monday",$A20="Christmas",$A20="New Year's Eve / New Year Season"),'今日提醒'!$B$2&gt;=($R20-30),'今日提醒'!$B$2&lt;$R20,'今日提醒'!$B$2&lt;$L20),"大节气提前",IF(AND('今日提醒'!$B$2&gt;=$P20,'今日提醒'!$B$2&lt;=$Q20),"二次排查",IF(AND(OR($A20="Chinese New Year",$A20="Super Bowl",$A20="Valentine's Day",$A20="Valentine Week",$A20="St. Patrick's Day",$A20="Easter",$A20="Graduation Season",$A20="Prom Season",$A20="Teacher Appreciation Week",$A20="Mother's Day",$A20="Memorial Day",$A20="Father's Day",$A20="Independence Day",$A20="Back-to-School Season",$A20="Labor Day",$A20="Halloween",$A20="Thanksgiving",$A20="Black Friday / Cyber Monday",$A20="Christmas",$A20="New Year's Eve / New Year Season"),'今日提醒'!$B$2&gt;=($P20-14),'今日提醒'!$B$2&lt;$P20,'今日提醒'!$B$2&lt;$L20),"临近二次",IF(AND('今日提醒'!$B$2&gt;=$N20,'今日提醒'!$B$2&lt;=$O20),"一次排查",IF('今日提醒'!$B$2&lt;$N20,"未到排查",IF('今日提醒'!$B$2&lt;$L20,"等待下一窗口","已过"))))))))))))</x:f>
        <x:v>已过</x:v>
      </x:c>
      <x:c r="K20" s="41" t="str">
        <x:f>IF($J20="收尾下滑","主购买/高频窗口已过，流量可能走弱：不要盲目加预算或新建组；优先看库存压力、ACOS、广告占比、自然单，仅保留高转化词，计算清货/留仓。",IF($J20="节后清尾","节点已过但仍在清尾窗口：控低效词、降无效预算，复盘转化词；库存重则算清货，库存轻则吃完尾流。",IF($J20="节点当日","今天就是节点当日：优先看转化、库存承接、广告花费和尾流风险；可以吃最后一波有效流量，但不要再大范围新建或盲目加预算。",IF($J20="节点进行中","当前在节点/销售窗口内：这是进行中，不是预热；重点看销量、库存承接、广告花费、转化和是否已出现流量下滑。",IF($J20="高频跟进","今天在高频跟进窗口：头部SKU每日看；重点看高库存、高花费、断货风险和ACOS。",IF($J20="临近高频","高频窗口即将开始：今天先预查广告结构、关键词/ASIN、Listing埋词、库存承接和预算，避免临近节点再补。",IF($J20="大节气提前","大节气提前窗口：不要等高频当天再动；今天先锁定主推SKU、库存承接、Listing节日词、广告结构和预算上限，低相关/低库存产品不硬推。",IF($J20="二次排查","今天在二次排查窗口：补广告结构、关键词/ASIN、预算和Listing埋词。",IF($J20="临近二次","大节气二次排查即将开始：提前准备词/ASIN/图片/价格/促销，不等窗口当天才补结构。",IF($J20="一次排查","今天在一次排查窗口：先筛SKU，看历史动销、库存、利润和Listing匹配。",IF($J20="未到排查","暂不处理，等一次排查窗口。",IF($J20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20" s="42" t="n">
        <x:v>46087</x:v>
      </x:c>
      <x:c r="M20" s="42" t="n">
        <x:v>46087</x:v>
      </x:c>
      <x:c r="N20" s="42" t="n">
        <x:v>46027</x:v>
      </x:c>
      <x:c r="O20" s="42" t="n">
        <x:v>46042</x:v>
      </x:c>
      <x:c r="P20" s="42" t="n">
        <x:v>46057</x:v>
      </x:c>
      <x:c r="Q20" s="42" t="n">
        <x:v>46066</x:v>
      </x:c>
      <x:c r="R20" s="42" t="n">
        <x:v>46073</x:v>
      </x:c>
      <x:c r="S20" s="42" t="n">
        <x:v>46089</x:v>
      </x:c>
      <x:c r="T20" s="43" t="n">
        <x:f>$L20-'今日提醒'!$B$2</x:f>
        <x:v>-80</x:v>
      </x:c>
      <x:c r="U20" s="74" t="n">
        <x:f>IF(OR($J20="收尾下滑",$J20="节后清尾",$J20="节点当日",$J20="节点进行中",$J20="高频跟进",$J20="临近高频",$J20="大节气提前",$J20="二次排查",$J20="临近二次",$J20="一次排查"),IF($J20="收尾下滑",1,IF($J20="节后清尾",2,IF($J20="节点当日",3,IF($J20="节点进行中",4,IF($J20="高频跟进",5,IF($J20="临近高频",6,IF($J20="大节气提前",7,IF($J20="二次排查",8,IF($J20="临近二次",9,10)))))))))*100000+ROW(),99999999+ROW())</x:f>
        <x:v>100000019</x:v>
      </x:c>
      <x:c r="V20" s="15" t="str">
        <x:f>IF(OR($J20="收尾下滑",$J20="节后清尾"),"风险/止损",IF($J20="节点当日","机会/当日冲刺",IF($J20="节点进行中","机会/进行中",IF($J20="高频跟进","机会/高频",IF($J20="大节气提前","机会/大节气提前",IF(OR($J20="临近高频",$J20="临近二次",$J20="二次排查",$J20="一次排查"),"机会/预热","非今日"))))))</x:f>
        <x:v>非今日</x:v>
      </x:c>
      <x:c r="W20" s="15" t="str">
        <x:f>IF($J20="收尾下滑","控投/清尾/算留仓",IF($J20="节后清尾","节后降投/复盘",IF($J20="节点当日","当日冲刺/控尾流",IF($J20="节点进行中","转化监控/看趋势",IF($J20="高频跟进","放量+控ACOS",IF($J20="大节气提前","提前锁结构/预算",IF($J20="临近高频","预查结构/埋词",IF($J20="临近二次","提前补结构/埋词",IF($J20="二次排查","补结构/补词",IF($J20="一次排查","筛SKU/核库存","暂无"))))))))))</x:f>
        <x:v>暂无</x:v>
      </x:c>
      <x:c r="X20" s="15" t="str">
        <x:f>IF(AND('今日提醒'!$B$2&gt;=$L20,'今日提醒'!$B$2&lt;=$M20,$L20=$M20),"节点当日：不是预热",IF(AND('今日提醒'!$B$2&gt;=$L20,'今日提醒'!$B$2&lt;=$M20,'今日提醒'!$B$2&gt;$S20),"高频已结束但销售窗口未结束：疑似尾期/下滑",IF(AND('今日提醒'!$B$2&gt;$M20,'今日提醒'!$B$2&lt;=$S20),"节点已过但仍在清尾窗口",IF($J20="大节气提前","大节气高频前30天：提前进入主推准备",IF($J20="临近二次","大节气二次排查前14天：提前准备","")))))</x:f>
      </x:c>
    </x:row>
    <x:row r="21" ht="58" hidden="0" customHeight="1">
      <x:c r="A21" s="41" t="str">
        <x:v>International Women's Day</x:v>
      </x:c>
      <x:c r="B21" s="41" t="str">
        <x:v>国际妇女节</x:v>
      </x:c>
      <x:c r="C21" s="41" t="str">
        <x:v>面向女性权益与女性感谢礼的全球节点，适合女性礼物、团队福利。</x:v>
      </x:c>
      <x:c r="D21" s="41" t="str">
        <x:v>2026-03-08</x:v>
      </x:c>
      <x:c r="E21" s="41" t="str">
        <x:v>固定日期</x:v>
      </x:c>
      <x:c r="F21" s="41" t="str">
        <x:v>women gifts、empowerment cards、女性鼓励手链、鲜花/小礼品</x:v>
      </x:c>
      <x:c r="G21" s="41" t="str">
        <x:v>2026-01-07 ~ 2026-01-22：先筛匹配SKU、历史销量、库存和利润空间。</x:v>
      </x:c>
      <x:c r="H21" s="41" t="str">
        <x:v>2026-02-06 ~ 2026-02-15：补关键词/ASIN、Listing埋词和广告预算。</x:v>
      </x:c>
      <x:c r="I21" s="41" t="str">
        <x:v>2026-02-22 ~ 2026-03-10：重点SKU每日看，普通SKU每2-3天看。</x:v>
      </x:c>
      <x:c r="J21" s="41" t="str">
        <x:f>IF(AND('今日提醒'!$B$2&gt;=$L21,'今日提醒'!$B$2&lt;=$M21,$L21=$M21),"节点当日",IF(AND('今日提醒'!$B$2&gt;=$L21,'今日提醒'!$B$2&lt;=$M21,'今日提醒'!$B$2&gt;$S21),"收尾下滑",IF(AND('今日提醒'!$B$2&gt;=$L21,'今日提醒'!$B$2&lt;=$M21),"节点进行中",IF(AND('今日提醒'!$B$2&gt;$M21,'今日提醒'!$B$2&lt;=$S21),"节后清尾",IF(AND('今日提醒'!$B$2&gt;=$R21,'今日提醒'!$B$2&lt;=$S21),"高频跟进",IF(AND('今日提醒'!$B$2&gt;=($R21-14),'今日提醒'!$B$2&lt;$R21,'今日提醒'!$B$2&lt;$L21),"临近高频",IF(AND(OR($A21="Chinese New Year",$A21="Super Bowl",$A21="Valentine's Day",$A21="Valentine Week",$A21="St. Patrick's Day",$A21="Easter",$A21="Graduation Season",$A21="Prom Season",$A21="Teacher Appreciation Week",$A21="Mother's Day",$A21="Memorial Day",$A21="Father's Day",$A21="Independence Day",$A21="Back-to-School Season",$A21="Labor Day",$A21="Halloween",$A21="Thanksgiving",$A21="Black Friday / Cyber Monday",$A21="Christmas",$A21="New Year's Eve / New Year Season"),'今日提醒'!$B$2&gt;=($R21-30),'今日提醒'!$B$2&lt;$R21,'今日提醒'!$B$2&lt;$L21),"大节气提前",IF(AND('今日提醒'!$B$2&gt;=$P21,'今日提醒'!$B$2&lt;=$Q21),"二次排查",IF(AND(OR($A21="Chinese New Year",$A21="Super Bowl",$A21="Valentine's Day",$A21="Valentine Week",$A21="St. Patrick's Day",$A21="Easter",$A21="Graduation Season",$A21="Prom Season",$A21="Teacher Appreciation Week",$A21="Mother's Day",$A21="Memorial Day",$A21="Father's Day",$A21="Independence Day",$A21="Back-to-School Season",$A21="Labor Day",$A21="Halloween",$A21="Thanksgiving",$A21="Black Friday / Cyber Monday",$A21="Christmas",$A21="New Year's Eve / New Year Season"),'今日提醒'!$B$2&gt;=($P21-14),'今日提醒'!$B$2&lt;$P21,'今日提醒'!$B$2&lt;$L21),"临近二次",IF(AND('今日提醒'!$B$2&gt;=$N21,'今日提醒'!$B$2&lt;=$O21),"一次排查",IF('今日提醒'!$B$2&lt;$N21,"未到排查",IF('今日提醒'!$B$2&lt;$L21,"等待下一窗口","已过"))))))))))))</x:f>
        <x:v>已过</x:v>
      </x:c>
      <x:c r="K21" s="41" t="str">
        <x:f>IF($J21="收尾下滑","主购买/高频窗口已过，流量可能走弱：不要盲目加预算或新建组；优先看库存压力、ACOS、广告占比、自然单，仅保留高转化词，计算清货/留仓。",IF($J21="节后清尾","节点已过但仍在清尾窗口：控低效词、降无效预算，复盘转化词；库存重则算清货，库存轻则吃完尾流。",IF($J21="节点当日","今天就是节点当日：优先看转化、库存承接、广告花费和尾流风险；可以吃最后一波有效流量，但不要再大范围新建或盲目加预算。",IF($J21="节点进行中","当前在节点/销售窗口内：这是进行中，不是预热；重点看销量、库存承接、广告花费、转化和是否已出现流量下滑。",IF($J21="高频跟进","今天在高频跟进窗口：头部SKU每日看；重点看高库存、高花费、断货风险和ACOS。",IF($J21="临近高频","高频窗口即将开始：今天先预查广告结构、关键词/ASIN、Listing埋词、库存承接和预算，避免临近节点再补。",IF($J21="大节气提前","大节气提前窗口：不要等高频当天再动；今天先锁定主推SKU、库存承接、Listing节日词、广告结构和预算上限，低相关/低库存产品不硬推。",IF($J21="二次排查","今天在二次排查窗口：补广告结构、关键词/ASIN、预算和Listing埋词。",IF($J21="临近二次","大节气二次排查即将开始：提前准备词/ASIN/图片/价格/促销，不等窗口当天才补结构。",IF($J21="一次排查","今天在一次排查窗口：先筛SKU，看历史动销、库存、利润和Listing匹配。",IF($J21="未到排查","暂不处理，等一次排查窗口。",IF($J21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21" s="42" t="n">
        <x:v>46089</x:v>
      </x:c>
      <x:c r="M21" s="42" t="n">
        <x:v>46089</x:v>
      </x:c>
      <x:c r="N21" s="42" t="n">
        <x:v>46029</x:v>
      </x:c>
      <x:c r="O21" s="42" t="n">
        <x:v>46044</x:v>
      </x:c>
      <x:c r="P21" s="42" t="n">
        <x:v>46059</x:v>
      </x:c>
      <x:c r="Q21" s="42" t="n">
        <x:v>46068</x:v>
      </x:c>
      <x:c r="R21" s="42" t="n">
        <x:v>46075</x:v>
      </x:c>
      <x:c r="S21" s="42" t="n">
        <x:v>46091</x:v>
      </x:c>
      <x:c r="T21" s="43" t="n">
        <x:f>$L21-'今日提醒'!$B$2</x:f>
        <x:v>-78</x:v>
      </x:c>
      <x:c r="U21" s="74" t="n">
        <x:f>IF(OR($J21="收尾下滑",$J21="节后清尾",$J21="节点当日",$J21="节点进行中",$J21="高频跟进",$J21="临近高频",$J21="大节气提前",$J21="二次排查",$J21="临近二次",$J21="一次排查"),IF($J21="收尾下滑",1,IF($J21="节后清尾",2,IF($J21="节点当日",3,IF($J21="节点进行中",4,IF($J21="高频跟进",5,IF($J21="临近高频",6,IF($J21="大节气提前",7,IF($J21="二次排查",8,IF($J21="临近二次",9,10)))))))))*100000+ROW(),99999999+ROW())</x:f>
        <x:v>100000020</x:v>
      </x:c>
      <x:c r="V21" s="15" t="str">
        <x:f>IF(OR($J21="收尾下滑",$J21="节后清尾"),"风险/止损",IF($J21="节点当日","机会/当日冲刺",IF($J21="节点进行中","机会/进行中",IF($J21="高频跟进","机会/高频",IF($J21="大节气提前","机会/大节气提前",IF(OR($J21="临近高频",$J21="临近二次",$J21="二次排查",$J21="一次排查"),"机会/预热","非今日"))))))</x:f>
        <x:v>非今日</x:v>
      </x:c>
      <x:c r="W21" s="15" t="str">
        <x:f>IF($J21="收尾下滑","控投/清尾/算留仓",IF($J21="节后清尾","节后降投/复盘",IF($J21="节点当日","当日冲刺/控尾流",IF($J21="节点进行中","转化监控/看趋势",IF($J21="高频跟进","放量+控ACOS",IF($J21="大节气提前","提前锁结构/预算",IF($J21="临近高频","预查结构/埋词",IF($J21="临近二次","提前补结构/埋词",IF($J21="二次排查","补结构/补词",IF($J21="一次排查","筛SKU/核库存","暂无"))))))))))</x:f>
        <x:v>暂无</x:v>
      </x:c>
      <x:c r="X21" s="15" t="str">
        <x:f>IF(AND('今日提醒'!$B$2&gt;=$L21,'今日提醒'!$B$2&lt;=$M21,$L21=$M21),"节点当日：不是预热",IF(AND('今日提醒'!$B$2&gt;=$L21,'今日提醒'!$B$2&lt;=$M21,'今日提醒'!$B$2&gt;$S21),"高频已结束但销售窗口未结束：疑似尾期/下滑",IF(AND('今日提醒'!$B$2&gt;$M21,'今日提醒'!$B$2&lt;=$S21),"节点已过但仍在清尾窗口",IF($J21="大节气提前","大节气高频前30天：提前进入主推准备",IF($J21="临近二次","大节气二次排查前14天：提前准备","")))))</x:f>
      </x:c>
    </x:row>
    <x:row r="22" ht="58" hidden="0" customHeight="1">
      <x:c r="A22" s="41" t="str">
        <x:v>World Social Work Day</x:v>
      </x:c>
      <x:c r="B22" s="41" t="str">
        <x:v>世界社会工作日</x:v>
      </x:c>
      <x:c r="C22" s="41" t="str">
        <x:v>表彰社会工作者的国际节点，适合social worker感谢礼。</x:v>
      </x:c>
      <x:c r="D22" s="41" t="str">
        <x:v>2026-03-17</x:v>
      </x:c>
      <x:c r="E22" s="41" t="str">
        <x:v>每年变动</x:v>
      </x:c>
      <x:c r="F22" s="41" t="str">
        <x:v>social worker gifts、school social worker感谢礼、pocket hug/卡片</x:v>
      </x:c>
      <x:c r="G22" s="41" t="str">
        <x:v>2026-01-16 ~ 2026-01-31：先筛匹配SKU、历史销量、库存和利润空间。</x:v>
      </x:c>
      <x:c r="H22" s="41" t="str">
        <x:v>2026-02-15 ~ 2026-02-24：补关键词/ASIN、Listing埋词和广告预算。</x:v>
      </x:c>
      <x:c r="I22" s="41" t="str">
        <x:v>2026-03-03 ~ 2026-03-19：重点SKU每日看，普通SKU每2-3天看。</x:v>
      </x:c>
      <x:c r="J22" s="41" t="str">
        <x:f>IF(AND('今日提醒'!$B$2&gt;=$L22,'今日提醒'!$B$2&lt;=$M22,$L22=$M22),"节点当日",IF(AND('今日提醒'!$B$2&gt;=$L22,'今日提醒'!$B$2&lt;=$M22,'今日提醒'!$B$2&gt;$S22),"收尾下滑",IF(AND('今日提醒'!$B$2&gt;=$L22,'今日提醒'!$B$2&lt;=$M22),"节点进行中",IF(AND('今日提醒'!$B$2&gt;$M22,'今日提醒'!$B$2&lt;=$S22),"节后清尾",IF(AND('今日提醒'!$B$2&gt;=$R22,'今日提醒'!$B$2&lt;=$S22),"高频跟进",IF(AND('今日提醒'!$B$2&gt;=($R22-14),'今日提醒'!$B$2&lt;$R22,'今日提醒'!$B$2&lt;$L22),"临近高频",IF(AND(OR($A22="Chinese New Year",$A22="Super Bowl",$A22="Valentine's Day",$A22="Valentine Week",$A22="St. Patrick's Day",$A22="Easter",$A22="Graduation Season",$A22="Prom Season",$A22="Teacher Appreciation Week",$A22="Mother's Day",$A22="Memorial Day",$A22="Father's Day",$A22="Independence Day",$A22="Back-to-School Season",$A22="Labor Day",$A22="Halloween",$A22="Thanksgiving",$A22="Black Friday / Cyber Monday",$A22="Christmas",$A22="New Year's Eve / New Year Season"),'今日提醒'!$B$2&gt;=($R22-30),'今日提醒'!$B$2&lt;$R22,'今日提醒'!$B$2&lt;$L22),"大节气提前",IF(AND('今日提醒'!$B$2&gt;=$P22,'今日提醒'!$B$2&lt;=$Q22),"二次排查",IF(AND(OR($A22="Chinese New Year",$A22="Super Bowl",$A22="Valentine's Day",$A22="Valentine Week",$A22="St. Patrick's Day",$A22="Easter",$A22="Graduation Season",$A22="Prom Season",$A22="Teacher Appreciation Week",$A22="Mother's Day",$A22="Memorial Day",$A22="Father's Day",$A22="Independence Day",$A22="Back-to-School Season",$A22="Labor Day",$A22="Halloween",$A22="Thanksgiving",$A22="Black Friday / Cyber Monday",$A22="Christmas",$A22="New Year's Eve / New Year Season"),'今日提醒'!$B$2&gt;=($P22-14),'今日提醒'!$B$2&lt;$P22,'今日提醒'!$B$2&lt;$L22),"临近二次",IF(AND('今日提醒'!$B$2&gt;=$N22,'今日提醒'!$B$2&lt;=$O22),"一次排查",IF('今日提醒'!$B$2&lt;$N22,"未到排查",IF('今日提醒'!$B$2&lt;$L22,"等待下一窗口","已过"))))))))))))</x:f>
        <x:v>已过</x:v>
      </x:c>
      <x:c r="K22" s="41" t="str">
        <x:f>IF($J22="收尾下滑","主购买/高频窗口已过，流量可能走弱：不要盲目加预算或新建组；优先看库存压力、ACOS、广告占比、自然单，仅保留高转化词，计算清货/留仓。",IF($J22="节后清尾","节点已过但仍在清尾窗口：控低效词、降无效预算，复盘转化词；库存重则算清货，库存轻则吃完尾流。",IF($J22="节点当日","今天就是节点当日：优先看转化、库存承接、广告花费和尾流风险；可以吃最后一波有效流量，但不要再大范围新建或盲目加预算。",IF($J22="节点进行中","当前在节点/销售窗口内：这是进行中，不是预热；重点看销量、库存承接、广告花费、转化和是否已出现流量下滑。",IF($J22="高频跟进","今天在高频跟进窗口：头部SKU每日看；重点看高库存、高花费、断货风险和ACOS。",IF($J22="临近高频","高频窗口即将开始：今天先预查广告结构、关键词/ASIN、Listing埋词、库存承接和预算，避免临近节点再补。",IF($J22="大节气提前","大节气提前窗口：不要等高频当天再动；今天先锁定主推SKU、库存承接、Listing节日词、广告结构和预算上限，低相关/低库存产品不硬推。",IF($J22="二次排查","今天在二次排查窗口：补广告结构、关键词/ASIN、预算和Listing埋词。",IF($J22="临近二次","大节气二次排查即将开始：提前准备词/ASIN/图片/价格/促销，不等窗口当天才补结构。",IF($J22="一次排查","今天在一次排查窗口：先筛SKU，看历史动销、库存、利润和Listing匹配。",IF($J22="未到排查","暂不处理，等一次排查窗口。",IF($J22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22" s="42" t="n">
        <x:v>46098</x:v>
      </x:c>
      <x:c r="M22" s="42" t="n">
        <x:v>46098</x:v>
      </x:c>
      <x:c r="N22" s="42" t="n">
        <x:v>46038</x:v>
      </x:c>
      <x:c r="O22" s="42" t="n">
        <x:v>46053</x:v>
      </x:c>
      <x:c r="P22" s="42" t="n">
        <x:v>46068</x:v>
      </x:c>
      <x:c r="Q22" s="42" t="n">
        <x:v>46077</x:v>
      </x:c>
      <x:c r="R22" s="42" t="n">
        <x:v>46084</x:v>
      </x:c>
      <x:c r="S22" s="42" t="n">
        <x:v>46100</x:v>
      </x:c>
      <x:c r="T22" s="43" t="n">
        <x:f>$L22-'今日提醒'!$B$2</x:f>
        <x:v>-69</x:v>
      </x:c>
      <x:c r="U22" s="74" t="n">
        <x:f>IF(OR($J22="收尾下滑",$J22="节后清尾",$J22="节点当日",$J22="节点进行中",$J22="高频跟进",$J22="临近高频",$J22="大节气提前",$J22="二次排查",$J22="临近二次",$J22="一次排查"),IF($J22="收尾下滑",1,IF($J22="节后清尾",2,IF($J22="节点当日",3,IF($J22="节点进行中",4,IF($J22="高频跟进",5,IF($J22="临近高频",6,IF($J22="大节气提前",7,IF($J22="二次排查",8,IF($J22="临近二次",9,10)))))))))*100000+ROW(),99999999+ROW())</x:f>
        <x:v>100000021</x:v>
      </x:c>
      <x:c r="V22" s="15" t="str">
        <x:f>IF(OR($J22="收尾下滑",$J22="节后清尾"),"风险/止损",IF($J22="节点当日","机会/当日冲刺",IF($J22="节点进行中","机会/进行中",IF($J22="高频跟进","机会/高频",IF($J22="大节气提前","机会/大节气提前",IF(OR($J22="临近高频",$J22="临近二次",$J22="二次排查",$J22="一次排查"),"机会/预热","非今日"))))))</x:f>
        <x:v>非今日</x:v>
      </x:c>
      <x:c r="W22" s="15" t="str">
        <x:f>IF($J22="收尾下滑","控投/清尾/算留仓",IF($J22="节后清尾","节后降投/复盘",IF($J22="节点当日","当日冲刺/控尾流",IF($J22="节点进行中","转化监控/看趋势",IF($J22="高频跟进","放量+控ACOS",IF($J22="大节气提前","提前锁结构/预算",IF($J22="临近高频","预查结构/埋词",IF($J22="临近二次","提前补结构/埋词",IF($J22="二次排查","补结构/补词",IF($J22="一次排查","筛SKU/核库存","暂无"))))))))))</x:f>
        <x:v>暂无</x:v>
      </x:c>
      <x:c r="X22" s="15" t="str">
        <x:f>IF(AND('今日提醒'!$B$2&gt;=$L22,'今日提醒'!$B$2&lt;=$M22,$L22=$M22),"节点当日：不是预热",IF(AND('今日提醒'!$B$2&gt;=$L22,'今日提醒'!$B$2&lt;=$M22,'今日提醒'!$B$2&gt;$S22),"高频已结束但销售窗口未结束：疑似尾期/下滑",IF(AND('今日提醒'!$B$2&gt;$M22,'今日提醒'!$B$2&lt;=$S22),"节点已过但仍在清尾窗口",IF($J22="大节气提前","大节气高频前30天：提前进入主推准备",IF($J22="临近二次","大节气二次排查前14天：提前准备","")))))</x:f>
      </x:c>
    </x:row>
    <x:row r="23" ht="58" hidden="0" customHeight="1">
      <x:c r="A23" s="41" t="str">
        <x:v>St. Patrick's Day</x:v>
      </x:c>
      <x:c r="B23" s="41" t="str">
        <x:v>圣帕特里克节</x:v>
      </x:c>
      <x:c r="C23" s="41" t="str">
        <x:v>爱尔兰文化与绿色幸运主题节日，适合幸运、三叶草、派对、小礼品和装饰。</x:v>
      </x:c>
      <x:c r="D23" s="41" t="str">
        <x:v>2026-03-17</x:v>
      </x:c>
      <x:c r="E23" s="41" t="str">
        <x:v>固定日期</x:v>
      </x:c>
      <x:c r="F23" s="41" t="str">
        <x:v>shamrock三叶草、绿色幸运礼品、party favors、Irish主题装饰</x:v>
      </x:c>
      <x:c r="G23" s="41" t="str">
        <x:v>2025-11-17 ~ 2025-12-17：先看历史销量、库存/FBA承接、是否需要改Listing。</x:v>
      </x:c>
      <x:c r="H23" s="41" t="str">
        <x:v>2026-01-16 ~ 2026-01-31：广告结构、关键词/ASIN、标题主图必须基本到位。</x:v>
      </x:c>
      <x:c r="I23" s="41" t="str">
        <x:v>2026-02-24 ~ 2026-03-20：头部SKU每日看，过后及时降投/清尾。</x:v>
      </x:c>
      <x:c r="J23" s="41" t="str">
        <x:f>IF(AND('今日提醒'!$B$2&gt;=$L23,'今日提醒'!$B$2&lt;=$M23,$L23=$M23),"节点当日",IF(AND('今日提醒'!$B$2&gt;=$L23,'今日提醒'!$B$2&lt;=$M23,'今日提醒'!$B$2&gt;$S23),"收尾下滑",IF(AND('今日提醒'!$B$2&gt;=$L23,'今日提醒'!$B$2&lt;=$M23),"节点进行中",IF(AND('今日提醒'!$B$2&gt;$M23,'今日提醒'!$B$2&lt;=$S23),"节后清尾",IF(AND('今日提醒'!$B$2&gt;=$R23,'今日提醒'!$B$2&lt;=$S23),"高频跟进",IF(AND('今日提醒'!$B$2&gt;=($R23-14),'今日提醒'!$B$2&lt;$R23,'今日提醒'!$B$2&lt;$L23),"临近高频",IF(AND(OR($A23="Chinese New Year",$A23="Super Bowl",$A23="Valentine's Day",$A23="Valentine Week",$A23="St. Patrick's Day",$A23="Easter",$A23="Graduation Season",$A23="Prom Season",$A23="Teacher Appreciation Week",$A23="Mother's Day",$A23="Memorial Day",$A23="Father's Day",$A23="Independence Day",$A23="Back-to-School Season",$A23="Labor Day",$A23="Halloween",$A23="Thanksgiving",$A23="Black Friday / Cyber Monday",$A23="Christmas",$A23="New Year's Eve / New Year Season"),'今日提醒'!$B$2&gt;=($R23-30),'今日提醒'!$B$2&lt;$R23,'今日提醒'!$B$2&lt;$L23),"大节气提前",IF(AND('今日提醒'!$B$2&gt;=$P23,'今日提醒'!$B$2&lt;=$Q23),"二次排查",IF(AND(OR($A23="Chinese New Year",$A23="Super Bowl",$A23="Valentine's Day",$A23="Valentine Week",$A23="St. Patrick's Day",$A23="Easter",$A23="Graduation Season",$A23="Prom Season",$A23="Teacher Appreciation Week",$A23="Mother's Day",$A23="Memorial Day",$A23="Father's Day",$A23="Independence Day",$A23="Back-to-School Season",$A23="Labor Day",$A23="Halloween",$A23="Thanksgiving",$A23="Black Friday / Cyber Monday",$A23="Christmas",$A23="New Year's Eve / New Year Season"),'今日提醒'!$B$2&gt;=($P23-14),'今日提醒'!$B$2&lt;$P23,'今日提醒'!$B$2&lt;$L23),"临近二次",IF(AND('今日提醒'!$B$2&gt;=$N23,'今日提醒'!$B$2&lt;=$O23),"一次排查",IF('今日提醒'!$B$2&lt;$N23,"未到排查",IF('今日提醒'!$B$2&lt;$L23,"等待下一窗口","已过"))))))))))))</x:f>
        <x:v>已过</x:v>
      </x:c>
      <x:c r="K23" s="41" t="str">
        <x:f>IF($J23="收尾下滑","主购买/高频窗口已过，流量可能走弱：不要盲目加预算或新建组；优先看库存压力、ACOS、广告占比、自然单，仅保留高转化词，计算清货/留仓。",IF($J23="节后清尾","节点已过但仍在清尾窗口：控低效词、降无效预算，复盘转化词；库存重则算清货，库存轻则吃完尾流。",IF($J23="节点当日","今天就是节点当日：优先看转化、库存承接、广告花费和尾流风险；可以吃最后一波有效流量，但不要再大范围新建或盲目加预算。",IF($J23="节点进行中","当前在节点/销售窗口内：这是进行中，不是预热；重点看销量、库存承接、广告花费、转化和是否已出现流量下滑。",IF($J23="高频跟进","今天在高频跟进窗口：头部SKU每日看；重点看高库存、高花费、断货风险和ACOS。",IF($J23="临近高频","高频窗口即将开始：今天先预查广告结构、关键词/ASIN、Listing埋词、库存承接和预算，避免临近节点再补。",IF($J23="大节气提前","大节气提前窗口：不要等高频当天再动；今天先锁定主推SKU、库存承接、Listing节日词、广告结构和预算上限，低相关/低库存产品不硬推。",IF($J23="二次排查","今天在二次排查窗口：补广告结构、关键词/ASIN、预算和Listing埋词。",IF($J23="临近二次","大节气二次排查即将开始：提前准备词/ASIN/图片/价格/促销，不等窗口当天才补结构。",IF($J23="一次排查","今天在一次排查窗口：先筛SKU，看历史动销、库存、利润和Listing匹配。",IF($J23="未到排查","暂不处理，等一次排查窗口。",IF($J23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23" s="42" t="n">
        <x:v>46098</x:v>
      </x:c>
      <x:c r="M23" s="42" t="n">
        <x:v>46098</x:v>
      </x:c>
      <x:c r="N23" s="42" t="n">
        <x:v>45978</x:v>
      </x:c>
      <x:c r="O23" s="42" t="n">
        <x:v>46008</x:v>
      </x:c>
      <x:c r="P23" s="42" t="n">
        <x:v>46038</x:v>
      </x:c>
      <x:c r="Q23" s="42" t="n">
        <x:v>46053</x:v>
      </x:c>
      <x:c r="R23" s="42" t="n">
        <x:v>46077</x:v>
      </x:c>
      <x:c r="S23" s="42" t="n">
        <x:v>46101</x:v>
      </x:c>
      <x:c r="T23" s="43" t="n">
        <x:f>$L23-'今日提醒'!$B$2</x:f>
        <x:v>-69</x:v>
      </x:c>
      <x:c r="U23" s="74" t="n">
        <x:f>IF(OR($J23="收尾下滑",$J23="节后清尾",$J23="节点当日",$J23="节点进行中",$J23="高频跟进",$J23="临近高频",$J23="大节气提前",$J23="二次排查",$J23="临近二次",$J23="一次排查"),IF($J23="收尾下滑",1,IF($J23="节后清尾",2,IF($J23="节点当日",3,IF($J23="节点进行中",4,IF($J23="高频跟进",5,IF($J23="临近高频",6,IF($J23="大节气提前",7,IF($J23="二次排查",8,IF($J23="临近二次",9,10)))))))))*100000+ROW(),99999999+ROW())</x:f>
        <x:v>100000022</x:v>
      </x:c>
      <x:c r="V23" s="15" t="str">
        <x:f>IF(OR($J23="收尾下滑",$J23="节后清尾"),"风险/止损",IF($J23="节点当日","机会/当日冲刺",IF($J23="节点进行中","机会/进行中",IF($J23="高频跟进","机会/高频",IF($J23="大节气提前","机会/大节气提前",IF(OR($J23="临近高频",$J23="临近二次",$J23="二次排查",$J23="一次排查"),"机会/预热","非今日"))))))</x:f>
        <x:v>非今日</x:v>
      </x:c>
      <x:c r="W23" s="15" t="str">
        <x:f>IF($J23="收尾下滑","控投/清尾/算留仓",IF($J23="节后清尾","节后降投/复盘",IF($J23="节点当日","当日冲刺/控尾流",IF($J23="节点进行中","转化监控/看趋势",IF($J23="高频跟进","放量+控ACOS",IF($J23="大节气提前","提前锁结构/预算",IF($J23="临近高频","预查结构/埋词",IF($J23="临近二次","提前补结构/埋词",IF($J23="二次排查","补结构/补词",IF($J23="一次排查","筛SKU/核库存","暂无"))))))))))</x:f>
        <x:v>暂无</x:v>
      </x:c>
      <x:c r="X23" s="15" t="str">
        <x:f>IF(AND('今日提醒'!$B$2&gt;=$L23,'今日提醒'!$B$2&lt;=$M23,$L23=$M23),"节点当日：不是预热",IF(AND('今日提醒'!$B$2&gt;=$L23,'今日提醒'!$B$2&lt;=$M23,'今日提醒'!$B$2&gt;$S23),"高频已结束但销售窗口未结束：疑似尾期/下滑",IF(AND('今日提醒'!$B$2&gt;$M23,'今日提醒'!$B$2&lt;=$S23),"节点已过但仍在清尾窗口",IF($J23="大节气提前","大节气高频前30天：提前进入主推准备",IF($J23="临近二次","大节气二次排查前14天：提前准备","")))))</x:f>
      </x:c>
    </x:row>
    <x:row r="24" ht="58" hidden="0" customHeight="1">
      <x:c r="A24" s="41" t="str">
        <x:v>International Day of Mathematics / Pi Day</x:v>
      </x:c>
      <x:c r="B24" s="41" t="str">
        <x:v>国际数学日/圆周率日</x:v>
      </x:c>
      <x:c r="C24" s="41" t="str">
        <x:v>数学教育与STEM主题节点，适合教师、学生、课堂活动用品。</x:v>
      </x:c>
      <x:c r="D24" s="41" t="str">
        <x:v>2026-03-14</x:v>
      </x:c>
      <x:c r="E24" s="41" t="str">
        <x:v>固定日期</x:v>
      </x:c>
      <x:c r="F24" s="41" t="str">
        <x:v>math teacher gifts、STEM课堂用品、Pi主题贴纸/卡片</x:v>
      </x:c>
      <x:c r="G24" s="41" t="str">
        <x:v>2025-12-29 ~ 2026-01-13：按职业词筛SKU，核库存、历史动销和礼品适配。</x:v>
      </x:c>
      <x:c r="H24" s="41" t="str">
        <x:v>2026-02-02 ~ 2026-02-12：建/补广告组，补关键词/ASIN，处理低效流量。</x:v>
      </x:c>
      <x:c r="I24" s="41" t="str">
        <x:v>2026-02-28 ~ 2026-03-14：高库存/高花费SKU每日看，其余2-3天看。</x:v>
      </x:c>
      <x:c r="J24" s="41" t="str">
        <x:f>IF(AND('今日提醒'!$B$2&gt;=$L24,'今日提醒'!$B$2&lt;=$M24,$L24=$M24),"节点当日",IF(AND('今日提醒'!$B$2&gt;=$L24,'今日提醒'!$B$2&lt;=$M24,'今日提醒'!$B$2&gt;$S24),"收尾下滑",IF(AND('今日提醒'!$B$2&gt;=$L24,'今日提醒'!$B$2&lt;=$M24),"节点进行中",IF(AND('今日提醒'!$B$2&gt;$M24,'今日提醒'!$B$2&lt;=$S24),"节后清尾",IF(AND('今日提醒'!$B$2&gt;=$R24,'今日提醒'!$B$2&lt;=$S24),"高频跟进",IF(AND('今日提醒'!$B$2&gt;=($R24-14),'今日提醒'!$B$2&lt;$R24,'今日提醒'!$B$2&lt;$L24),"临近高频",IF(AND(OR($A24="Chinese New Year",$A24="Super Bowl",$A24="Valentine's Day",$A24="Valentine Week",$A24="St. Patrick's Day",$A24="Easter",$A24="Graduation Season",$A24="Prom Season",$A24="Teacher Appreciation Week",$A24="Mother's Day",$A24="Memorial Day",$A24="Father's Day",$A24="Independence Day",$A24="Back-to-School Season",$A24="Labor Day",$A24="Halloween",$A24="Thanksgiving",$A24="Black Friday / Cyber Monday",$A24="Christmas",$A24="New Year's Eve / New Year Season"),'今日提醒'!$B$2&gt;=($R24-30),'今日提醒'!$B$2&lt;$R24,'今日提醒'!$B$2&lt;$L24),"大节气提前",IF(AND('今日提醒'!$B$2&gt;=$P24,'今日提醒'!$B$2&lt;=$Q24),"二次排查",IF(AND(OR($A24="Chinese New Year",$A24="Super Bowl",$A24="Valentine's Day",$A24="Valentine Week",$A24="St. Patrick's Day",$A24="Easter",$A24="Graduation Season",$A24="Prom Season",$A24="Teacher Appreciation Week",$A24="Mother's Day",$A24="Memorial Day",$A24="Father's Day",$A24="Independence Day",$A24="Back-to-School Season",$A24="Labor Day",$A24="Halloween",$A24="Thanksgiving",$A24="Black Friday / Cyber Monday",$A24="Christmas",$A24="New Year's Eve / New Year Season"),'今日提醒'!$B$2&gt;=($P24-14),'今日提醒'!$B$2&lt;$P24,'今日提醒'!$B$2&lt;$L24),"临近二次",IF(AND('今日提醒'!$B$2&gt;=$N24,'今日提醒'!$B$2&lt;=$O24),"一次排查",IF('今日提醒'!$B$2&lt;$N24,"未到排查",IF('今日提醒'!$B$2&lt;$L24,"等待下一窗口","已过"))))))))))))</x:f>
        <x:v>已过</x:v>
      </x:c>
      <x:c r="K24" s="41" t="str">
        <x:f>IF($J24="收尾下滑","主购买/高频窗口已过，流量可能走弱：不要盲目加预算或新建组；优先看库存压力、ACOS、广告占比、自然单，仅保留高转化词，计算清货/留仓。",IF($J24="节后清尾","节点已过但仍在清尾窗口：控低效词、降无效预算，复盘转化词；库存重则算清货，库存轻则吃完尾流。",IF($J24="节点当日","今天就是节点当日：优先看转化、库存承接、广告花费和尾流风险；可以吃最后一波有效流量，但不要再大范围新建或盲目加预算。",IF($J24="节点进行中","当前在节点/销售窗口内：这是进行中，不是预热；重点看销量、库存承接、广告花费、转化和是否已出现流量下滑。",IF($J24="高频跟进","今天在高频跟进窗口：头部SKU每日看；重点看高库存、高花费、断货风险和ACOS。",IF($J24="临近高频","高频窗口即将开始：今天先预查广告结构、关键词/ASIN、Listing埋词、库存承接和预算，避免临近节点再补。",IF($J24="大节气提前","大节气提前窗口：不要等高频当天再动；今天先锁定主推SKU、库存承接、Listing节日词、广告结构和预算上限，低相关/低库存产品不硬推。",IF($J24="二次排查","今天在二次排查窗口：补广告结构、关键词/ASIN、预算和Listing埋词。",IF($J24="临近二次","大节气二次排查即将开始：提前准备词/ASIN/图片/价格/促销，不等窗口当天才补结构。",IF($J24="一次排查","今天在一次排查窗口：先筛SKU，看历史动销、库存、利润和Listing匹配。",IF($J24="未到排查","暂不处理，等一次排查窗口。",IF($J24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24" s="42" t="n">
        <x:v>46095</x:v>
      </x:c>
      <x:c r="M24" s="42" t="n">
        <x:v>46095</x:v>
      </x:c>
      <x:c r="N24" s="42" t="n">
        <x:v>46020</x:v>
      </x:c>
      <x:c r="O24" s="42" t="n">
        <x:v>46035</x:v>
      </x:c>
      <x:c r="P24" s="42" t="n">
        <x:v>46055</x:v>
      </x:c>
      <x:c r="Q24" s="42" t="n">
        <x:v>46065</x:v>
      </x:c>
      <x:c r="R24" s="42" t="n">
        <x:v>46081</x:v>
      </x:c>
      <x:c r="S24" s="42" t="n">
        <x:v>46095</x:v>
      </x:c>
      <x:c r="T24" s="43" t="n">
        <x:f>$L24-'今日提醒'!$B$2</x:f>
        <x:v>-72</x:v>
      </x:c>
      <x:c r="U24" s="74" t="n">
        <x:f>IF(OR($J24="收尾下滑",$J24="节后清尾",$J24="节点当日",$J24="节点进行中",$J24="高频跟进",$J24="临近高频",$J24="大节气提前",$J24="二次排查",$J24="临近二次",$J24="一次排查"),IF($J24="收尾下滑",1,IF($J24="节后清尾",2,IF($J24="节点当日",3,IF($J24="节点进行中",4,IF($J24="高频跟进",5,IF($J24="临近高频",6,IF($J24="大节气提前",7,IF($J24="二次排查",8,IF($J24="临近二次",9,10)))))))))*100000+ROW(),99999999+ROW())</x:f>
        <x:v>100000023</x:v>
      </x:c>
      <x:c r="V24" s="15" t="str">
        <x:f>IF(OR($J24="收尾下滑",$J24="节后清尾"),"风险/止损",IF($J24="节点当日","机会/当日冲刺",IF($J24="节点进行中","机会/进行中",IF($J24="高频跟进","机会/高频",IF($J24="大节气提前","机会/大节气提前",IF(OR($J24="临近高频",$J24="临近二次",$J24="二次排查",$J24="一次排查"),"机会/预热","非今日"))))))</x:f>
        <x:v>非今日</x:v>
      </x:c>
      <x:c r="W24" s="15" t="str">
        <x:f>IF($J24="收尾下滑","控投/清尾/算留仓",IF($J24="节后清尾","节后降投/复盘",IF($J24="节点当日","当日冲刺/控尾流",IF($J24="节点进行中","转化监控/看趋势",IF($J24="高频跟进","放量+控ACOS",IF($J24="大节气提前","提前锁结构/预算",IF($J24="临近高频","预查结构/埋词",IF($J24="临近二次","提前补结构/埋词",IF($J24="二次排查","补结构/补词",IF($J24="一次排查","筛SKU/核库存","暂无"))))))))))</x:f>
        <x:v>暂无</x:v>
      </x:c>
      <x:c r="X24" s="15" t="str">
        <x:f>IF(AND('今日提醒'!$B$2&gt;=$L24,'今日提醒'!$B$2&lt;=$M24,$L24=$M24),"节点当日：不是预热",IF(AND('今日提醒'!$B$2&gt;=$L24,'今日提醒'!$B$2&lt;=$M24,'今日提醒'!$B$2&gt;$S24),"高频已结束但销售窗口未结束：疑似尾期/下滑",IF(AND('今日提醒'!$B$2&gt;$M24,'今日提醒'!$B$2&lt;=$S24),"节点已过但仍在清尾窗口",IF($J24="大节气提前","大节气高频前30天：提前进入主推准备",IF($J24="临近二次","大节气二次排查前14天：提前准备","")))))</x:f>
      </x:c>
    </x:row>
    <x:row r="25" ht="58" hidden="0" customHeight="1">
      <x:c r="A25" s="41" t="str">
        <x:v>Patient Access Week</x:v>
      </x:c>
      <x:c r="B25" s="41" t="str">
        <x:v>患者准入/医疗前台服务周</x:v>
      </x:c>
      <x:c r="C25" s="41" t="str">
        <x:v>表彰预约、登记、保险与患者准入团队，适合医疗办公室感谢礼。</x:v>
      </x:c>
      <x:c r="D25" s="41" t="str">
        <x:v>2026-04-05 ~ 2026-04-11</x:v>
      </x:c>
      <x:c r="E25" s="41" t="str">
        <x:v>每年变动</x:v>
      </x:c>
      <x:c r="F25" s="41" t="str">
        <x:v>patient access gifts、medical front desk感谢礼、办公室小礼</x:v>
      </x:c>
      <x:c r="G25" s="41" t="str">
        <x:v>2026-01-20 ~ 2026-02-04：按职业词筛SKU，核库存、历史动销和礼品适配。</x:v>
      </x:c>
      <x:c r="H25" s="41" t="str">
        <x:v>2026-02-24 ~ 2026-03-06：建/补广告组，补关键词/ASIN，处理低效流量。</x:v>
      </x:c>
      <x:c r="I25" s="41" t="str">
        <x:v>2026-03-22 ~ 2026-04-11：高库存/高花费SKU每日看，其余2-3天看。</x:v>
      </x:c>
      <x:c r="J25" s="41" t="str">
        <x:f>IF(AND('今日提醒'!$B$2&gt;=$L25,'今日提醒'!$B$2&lt;=$M25,$L25=$M25),"节点当日",IF(AND('今日提醒'!$B$2&gt;=$L25,'今日提醒'!$B$2&lt;=$M25,'今日提醒'!$B$2&gt;$S25),"收尾下滑",IF(AND('今日提醒'!$B$2&gt;=$L25,'今日提醒'!$B$2&lt;=$M25),"节点进行中",IF(AND('今日提醒'!$B$2&gt;$M25,'今日提醒'!$B$2&lt;=$S25),"节后清尾",IF(AND('今日提醒'!$B$2&gt;=$R25,'今日提醒'!$B$2&lt;=$S25),"高频跟进",IF(AND('今日提醒'!$B$2&gt;=($R25-14),'今日提醒'!$B$2&lt;$R25,'今日提醒'!$B$2&lt;$L25),"临近高频",IF(AND(OR($A25="Chinese New Year",$A25="Super Bowl",$A25="Valentine's Day",$A25="Valentine Week",$A25="St. Patrick's Day",$A25="Easter",$A25="Graduation Season",$A25="Prom Season",$A25="Teacher Appreciation Week",$A25="Mother's Day",$A25="Memorial Day",$A25="Father's Day",$A25="Independence Day",$A25="Back-to-School Season",$A25="Labor Day",$A25="Halloween",$A25="Thanksgiving",$A25="Black Friday / Cyber Monday",$A25="Christmas",$A25="New Year's Eve / New Year Season"),'今日提醒'!$B$2&gt;=($R25-30),'今日提醒'!$B$2&lt;$R25,'今日提醒'!$B$2&lt;$L25),"大节气提前",IF(AND('今日提醒'!$B$2&gt;=$P25,'今日提醒'!$B$2&lt;=$Q25),"二次排查",IF(AND(OR($A25="Chinese New Year",$A25="Super Bowl",$A25="Valentine's Day",$A25="Valentine Week",$A25="St. Patrick's Day",$A25="Easter",$A25="Graduation Season",$A25="Prom Season",$A25="Teacher Appreciation Week",$A25="Mother's Day",$A25="Memorial Day",$A25="Father's Day",$A25="Independence Day",$A25="Back-to-School Season",$A25="Labor Day",$A25="Halloween",$A25="Thanksgiving",$A25="Black Friday / Cyber Monday",$A25="Christmas",$A25="New Year's Eve / New Year Season"),'今日提醒'!$B$2&gt;=($P25-14),'今日提醒'!$B$2&lt;$P25,'今日提醒'!$B$2&lt;$L25),"临近二次",IF(AND('今日提醒'!$B$2&gt;=$N25,'今日提醒'!$B$2&lt;=$O25),"一次排查",IF('今日提醒'!$B$2&lt;$N25,"未到排查",IF('今日提醒'!$B$2&lt;$L25,"等待下一窗口","已过"))))))))))))</x:f>
        <x:v>已过</x:v>
      </x:c>
      <x:c r="K25" s="41" t="str">
        <x:f>IF($J25="收尾下滑","主购买/高频窗口已过，流量可能走弱：不要盲目加预算或新建组；优先看库存压力、ACOS、广告占比、自然单，仅保留高转化词，计算清货/留仓。",IF($J25="节后清尾","节点已过但仍在清尾窗口：控低效词、降无效预算，复盘转化词；库存重则算清货，库存轻则吃完尾流。",IF($J25="节点当日","今天就是节点当日：优先看转化、库存承接、广告花费和尾流风险；可以吃最后一波有效流量，但不要再大范围新建或盲目加预算。",IF($J25="节点进行中","当前在节点/销售窗口内：这是进行中，不是预热；重点看销量、库存承接、广告花费、转化和是否已出现流量下滑。",IF($J25="高频跟进","今天在高频跟进窗口：头部SKU每日看；重点看高库存、高花费、断货风险和ACOS。",IF($J25="临近高频","高频窗口即将开始：今天先预查广告结构、关键词/ASIN、Listing埋词、库存承接和预算，避免临近节点再补。",IF($J25="大节气提前","大节气提前窗口：不要等高频当天再动；今天先锁定主推SKU、库存承接、Listing节日词、广告结构和预算上限，低相关/低库存产品不硬推。",IF($J25="二次排查","今天在二次排查窗口：补广告结构、关键词/ASIN、预算和Listing埋词。",IF($J25="临近二次","大节气二次排查即将开始：提前准备词/ASIN/图片/价格/促销，不等窗口当天才补结构。",IF($J25="一次排查","今天在一次排查窗口：先筛SKU，看历史动销、库存、利润和Listing匹配。",IF($J25="未到排查","暂不处理，等一次排查窗口。",IF($J25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25" s="42" t="n">
        <x:v>46117</x:v>
      </x:c>
      <x:c r="M25" s="42" t="n">
        <x:v>46123</x:v>
      </x:c>
      <x:c r="N25" s="42" t="n">
        <x:v>46042</x:v>
      </x:c>
      <x:c r="O25" s="42" t="n">
        <x:v>46057</x:v>
      </x:c>
      <x:c r="P25" s="42" t="n">
        <x:v>46077</x:v>
      </x:c>
      <x:c r="Q25" s="42" t="n">
        <x:v>46087</x:v>
      </x:c>
      <x:c r="R25" s="42" t="n">
        <x:v>46103</x:v>
      </x:c>
      <x:c r="S25" s="42" t="n">
        <x:v>46123</x:v>
      </x:c>
      <x:c r="T25" s="43" t="n">
        <x:f>$L25-'今日提醒'!$B$2</x:f>
        <x:v>-50</x:v>
      </x:c>
      <x:c r="U25" s="74" t="n">
        <x:f>IF(OR($J25="收尾下滑",$J25="节后清尾",$J25="节点当日",$J25="节点进行中",$J25="高频跟进",$J25="临近高频",$J25="大节气提前",$J25="二次排查",$J25="临近二次",$J25="一次排查"),IF($J25="收尾下滑",1,IF($J25="节后清尾",2,IF($J25="节点当日",3,IF($J25="节点进行中",4,IF($J25="高频跟进",5,IF($J25="临近高频",6,IF($J25="大节气提前",7,IF($J25="二次排查",8,IF($J25="临近二次",9,10)))))))))*100000+ROW(),99999999+ROW())</x:f>
        <x:v>100000024</x:v>
      </x:c>
      <x:c r="V25" s="15" t="str">
        <x:f>IF(OR($J25="收尾下滑",$J25="节后清尾"),"风险/止损",IF($J25="节点当日","机会/当日冲刺",IF($J25="节点进行中","机会/进行中",IF($J25="高频跟进","机会/高频",IF($J25="大节气提前","机会/大节气提前",IF(OR($J25="临近高频",$J25="临近二次",$J25="二次排查",$J25="一次排查"),"机会/预热","非今日"))))))</x:f>
        <x:v>非今日</x:v>
      </x:c>
      <x:c r="W25" s="15" t="str">
        <x:f>IF($J25="收尾下滑","控投/清尾/算留仓",IF($J25="节后清尾","节后降投/复盘",IF($J25="节点当日","当日冲刺/控尾流",IF($J25="节点进行中","转化监控/看趋势",IF($J25="高频跟进","放量+控ACOS",IF($J25="大节气提前","提前锁结构/预算",IF($J25="临近高频","预查结构/埋词",IF($J25="临近二次","提前补结构/埋词",IF($J25="二次排查","补结构/补词",IF($J25="一次排查","筛SKU/核库存","暂无"))))))))))</x:f>
        <x:v>暂无</x:v>
      </x:c>
      <x:c r="X25" s="15" t="str">
        <x:f>IF(AND('今日提醒'!$B$2&gt;=$L25,'今日提醒'!$B$2&lt;=$M25,$L25=$M25),"节点当日：不是预热",IF(AND('今日提醒'!$B$2&gt;=$L25,'今日提醒'!$B$2&lt;=$M25,'今日提醒'!$B$2&gt;$S25),"高频已结束但销售窗口未结束：疑似尾期/下滑",IF(AND('今日提醒'!$B$2&gt;$M25,'今日提醒'!$B$2&lt;=$S25),"节点已过但仍在清尾窗口",IF($J25="大节气提前","大节气高频前30天：提前进入主推准备",IF($J25="临近二次","大节气二次排查前14天：提前准备","")))))</x:f>
      </x:c>
    </x:row>
    <x:row r="26" ht="58" hidden="0" customHeight="1">
      <x:c r="A26" s="41" t="str">
        <x:v>National Doctors' Day</x:v>
      </x:c>
      <x:c r="B26" s="41" t="str">
        <x:v>全国医生节</x:v>
      </x:c>
      <x:c r="C26" s="41" t="str">
        <x:v>感谢医生和医师贡献的职业礼品节点，适合doctor gifts、physician gifts、medical appreciation。</x:v>
      </x:c>
      <x:c r="D26" s="41" t="str">
        <x:v>2026-03-30</x:v>
      </x:c>
      <x:c r="E26" s="41" t="str">
        <x:v>固定日期</x:v>
      </x:c>
      <x:c r="F26" s="41" t="str">
        <x:v>doctor/physician gifts、听诊器元素、感谢卡、桌面小礼</x:v>
      </x:c>
      <x:c r="G26" s="41" t="str">
        <x:v>2026-01-29 ~ 2026-02-13：先筛匹配SKU、历史销量、库存和利润空间。</x:v>
      </x:c>
      <x:c r="H26" s="41" t="str">
        <x:v>2026-02-28 ~ 2026-03-09：补关键词/ASIN、Listing埋词和广告预算。</x:v>
      </x:c>
      <x:c r="I26" s="41" t="str">
        <x:v>2026-03-16 ~ 2026-04-01：重点SKU每日看，普通SKU每2-3天看。</x:v>
      </x:c>
      <x:c r="J26" s="41" t="str">
        <x:f>IF(AND('今日提醒'!$B$2&gt;=$L26,'今日提醒'!$B$2&lt;=$M26,$L26=$M26),"节点当日",IF(AND('今日提醒'!$B$2&gt;=$L26,'今日提醒'!$B$2&lt;=$M26,'今日提醒'!$B$2&gt;$S26),"收尾下滑",IF(AND('今日提醒'!$B$2&gt;=$L26,'今日提醒'!$B$2&lt;=$M26),"节点进行中",IF(AND('今日提醒'!$B$2&gt;$M26,'今日提醒'!$B$2&lt;=$S26),"节后清尾",IF(AND('今日提醒'!$B$2&gt;=$R26,'今日提醒'!$B$2&lt;=$S26),"高频跟进",IF(AND('今日提醒'!$B$2&gt;=($R26-14),'今日提醒'!$B$2&lt;$R26,'今日提醒'!$B$2&lt;$L26),"临近高频",IF(AND(OR($A26="Chinese New Year",$A26="Super Bowl",$A26="Valentine's Day",$A26="Valentine Week",$A26="St. Patrick's Day",$A26="Easter",$A26="Graduation Season",$A26="Prom Season",$A26="Teacher Appreciation Week",$A26="Mother's Day",$A26="Memorial Day",$A26="Father's Day",$A26="Independence Day",$A26="Back-to-School Season",$A26="Labor Day",$A26="Halloween",$A26="Thanksgiving",$A26="Black Friday / Cyber Monday",$A26="Christmas",$A26="New Year's Eve / New Year Season"),'今日提醒'!$B$2&gt;=($R26-30),'今日提醒'!$B$2&lt;$R26,'今日提醒'!$B$2&lt;$L26),"大节气提前",IF(AND('今日提醒'!$B$2&gt;=$P26,'今日提醒'!$B$2&lt;=$Q26),"二次排查",IF(AND(OR($A26="Chinese New Year",$A26="Super Bowl",$A26="Valentine's Day",$A26="Valentine Week",$A26="St. Patrick's Day",$A26="Easter",$A26="Graduation Season",$A26="Prom Season",$A26="Teacher Appreciation Week",$A26="Mother's Day",$A26="Memorial Day",$A26="Father's Day",$A26="Independence Day",$A26="Back-to-School Season",$A26="Labor Day",$A26="Halloween",$A26="Thanksgiving",$A26="Black Friday / Cyber Monday",$A26="Christmas",$A26="New Year's Eve / New Year Season"),'今日提醒'!$B$2&gt;=($P26-14),'今日提醒'!$B$2&lt;$P26,'今日提醒'!$B$2&lt;$L26),"临近二次",IF(AND('今日提醒'!$B$2&gt;=$N26,'今日提醒'!$B$2&lt;=$O26),"一次排查",IF('今日提醒'!$B$2&lt;$N26,"未到排查",IF('今日提醒'!$B$2&lt;$L26,"等待下一窗口","已过"))))))))))))</x:f>
        <x:v>已过</x:v>
      </x:c>
      <x:c r="K26" s="41" t="str">
        <x:f>IF($J26="收尾下滑","主购买/高频窗口已过，流量可能走弱：不要盲目加预算或新建组；优先看库存压力、ACOS、广告占比、自然单，仅保留高转化词，计算清货/留仓。",IF($J26="节后清尾","节点已过但仍在清尾窗口：控低效词、降无效预算，复盘转化词；库存重则算清货，库存轻则吃完尾流。",IF($J26="节点当日","今天就是节点当日：优先看转化、库存承接、广告花费和尾流风险；可以吃最后一波有效流量，但不要再大范围新建或盲目加预算。",IF($J26="节点进行中","当前在节点/销售窗口内：这是进行中，不是预热；重点看销量、库存承接、广告花费、转化和是否已出现流量下滑。",IF($J26="高频跟进","今天在高频跟进窗口：头部SKU每日看；重点看高库存、高花费、断货风险和ACOS。",IF($J26="临近高频","高频窗口即将开始：今天先预查广告结构、关键词/ASIN、Listing埋词、库存承接和预算，避免临近节点再补。",IF($J26="大节气提前","大节气提前窗口：不要等高频当天再动；今天先锁定主推SKU、库存承接、Listing节日词、广告结构和预算上限，低相关/低库存产品不硬推。",IF($J26="二次排查","今天在二次排查窗口：补广告结构、关键词/ASIN、预算和Listing埋词。",IF($J26="临近二次","大节气二次排查即将开始：提前准备词/ASIN/图片/价格/促销，不等窗口当天才补结构。",IF($J26="一次排查","今天在一次排查窗口：先筛SKU，看历史动销、库存、利润和Listing匹配。",IF($J26="未到排查","暂不处理，等一次排查窗口。",IF($J26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26" s="42" t="n">
        <x:v>46111</x:v>
      </x:c>
      <x:c r="M26" s="42" t="n">
        <x:v>46111</x:v>
      </x:c>
      <x:c r="N26" s="42" t="n">
        <x:v>46051</x:v>
      </x:c>
      <x:c r="O26" s="42" t="n">
        <x:v>46066</x:v>
      </x:c>
      <x:c r="P26" s="42" t="n">
        <x:v>46081</x:v>
      </x:c>
      <x:c r="Q26" s="42" t="n">
        <x:v>46090</x:v>
      </x:c>
      <x:c r="R26" s="42" t="n">
        <x:v>46097</x:v>
      </x:c>
      <x:c r="S26" s="42" t="n">
        <x:v>46113</x:v>
      </x:c>
      <x:c r="T26" s="43" t="n">
        <x:f>$L26-'今日提醒'!$B$2</x:f>
        <x:v>-56</x:v>
      </x:c>
      <x:c r="U26" s="74" t="n">
        <x:f>IF(OR($J26="收尾下滑",$J26="节后清尾",$J26="节点当日",$J26="节点进行中",$J26="高频跟进",$J26="临近高频",$J26="大节气提前",$J26="二次排查",$J26="临近二次",$J26="一次排查"),IF($J26="收尾下滑",1,IF($J26="节后清尾",2,IF($J26="节点当日",3,IF($J26="节点进行中",4,IF($J26="高频跟进",5,IF($J26="临近高频",6,IF($J26="大节气提前",7,IF($J26="二次排查",8,IF($J26="临近二次",9,10)))))))))*100000+ROW(),99999999+ROW())</x:f>
        <x:v>100000025</x:v>
      </x:c>
      <x:c r="V26" s="15" t="str">
        <x:f>IF(OR($J26="收尾下滑",$J26="节后清尾"),"风险/止损",IF($J26="节点当日","机会/当日冲刺",IF($J26="节点进行中","机会/进行中",IF($J26="高频跟进","机会/高频",IF($J26="大节气提前","机会/大节气提前",IF(OR($J26="临近高频",$J26="临近二次",$J26="二次排查",$J26="一次排查"),"机会/预热","非今日"))))))</x:f>
        <x:v>非今日</x:v>
      </x:c>
      <x:c r="W26" s="15" t="str">
        <x:f>IF($J26="收尾下滑","控投/清尾/算留仓",IF($J26="节后清尾","节后降投/复盘",IF($J26="节点当日","当日冲刺/控尾流",IF($J26="节点进行中","转化监控/看趋势",IF($J26="高频跟进","放量+控ACOS",IF($J26="大节气提前","提前锁结构/预算",IF($J26="临近高频","预查结构/埋词",IF($J26="临近二次","提前补结构/埋词",IF($J26="二次排查","补结构/补词",IF($J26="一次排查","筛SKU/核库存","暂无"))))))))))</x:f>
        <x:v>暂无</x:v>
      </x:c>
      <x:c r="X26" s="15" t="str">
        <x:f>IF(AND('今日提醒'!$B$2&gt;=$L26,'今日提醒'!$B$2&lt;=$M26,$L26=$M26),"节点当日：不是预热",IF(AND('今日提醒'!$B$2&gt;=$L26,'今日提醒'!$B$2&lt;=$M26,'今日提醒'!$B$2&gt;$S26),"高频已结束但销售窗口未结束：疑似尾期/下滑",IF(AND('今日提醒'!$B$2&gt;$M26,'今日提醒'!$B$2&lt;=$S26),"节点已过但仍在清尾窗口",IF($J26="大节气提前","大节气高频前30天：提前进入主推准备",IF($J26="临近二次","大节气二次排查前14天：提前准备","")))))</x:f>
      </x:c>
    </x:row>
    <x:row r="27" ht="58" hidden="0" customHeight="1">
      <x:c r="A27" s="41" t="str">
        <x:v>Spring Back-to-School Season</x:v>
      </x:c>
      <x:c r="B27" s="41" t="str">
        <x:v>春季返校/春季开学季</x:v>
      </x:c>
      <x:c r="C27" s="41" t="str">
        <x:v>春季学期与学校用品补货窗口，适合学习用品、收纳和教师用品。</x:v>
      </x:c>
      <x:c r="D27" s="41" t="str">
        <x:v>2026-01-20 ~ 2026-03-10</x:v>
      </x:c>
      <x:c r="E27" s="41" t="str">
        <x:v>区间变动：按学校校历，取常用销售窗口</x:v>
      </x:c>
      <x:c r="F27" s="41" t="str">
        <x:v>文具、书签、收纳、宿舍装饰、老师/学生礼、课堂用品</x:v>
      </x:c>
      <x:c r="G27" s="41" t="str">
        <x:v>2025-10-22 ~ 2025-11-05：看历史动销起点、库存承接、Listing是否匹配。</x:v>
      </x:c>
      <x:c r="H27" s="41" t="str">
        <x:v>2025-12-06 ~ 2025-12-20：完成关键词/ASIN/主图标题检查，低预算轻测。</x:v>
      </x:c>
      <x:c r="I27" s="41" t="str">
        <x:v>2026-01-06 ~ 2026-02-13：头部SKU每日看，普通SKU每周2次。</x:v>
      </x:c>
      <x:c r="J27" s="41" t="str">
        <x:f>IF(AND('今日提醒'!$B$2&gt;=$L27,'今日提醒'!$B$2&lt;=$M27,$L27=$M27),"节点当日",IF(AND('今日提醒'!$B$2&gt;=$L27,'今日提醒'!$B$2&lt;=$M27,'今日提醒'!$B$2&gt;$S27),"收尾下滑",IF(AND('今日提醒'!$B$2&gt;=$L27,'今日提醒'!$B$2&lt;=$M27),"节点进行中",IF(AND('今日提醒'!$B$2&gt;$M27,'今日提醒'!$B$2&lt;=$S27),"节后清尾",IF(AND('今日提醒'!$B$2&gt;=$R27,'今日提醒'!$B$2&lt;=$S27),"高频跟进",IF(AND('今日提醒'!$B$2&gt;=($R27-14),'今日提醒'!$B$2&lt;$R27,'今日提醒'!$B$2&lt;$L27),"临近高频",IF(AND(OR($A27="Chinese New Year",$A27="Super Bowl",$A27="Valentine's Day",$A27="Valentine Week",$A27="St. Patrick's Day",$A27="Easter",$A27="Graduation Season",$A27="Prom Season",$A27="Teacher Appreciation Week",$A27="Mother's Day",$A27="Memorial Day",$A27="Father's Day",$A27="Independence Day",$A27="Back-to-School Season",$A27="Labor Day",$A27="Halloween",$A27="Thanksgiving",$A27="Black Friday / Cyber Monday",$A27="Christmas",$A27="New Year's Eve / New Year Season"),'今日提醒'!$B$2&gt;=($R27-30),'今日提醒'!$B$2&lt;$R27,'今日提醒'!$B$2&lt;$L27),"大节气提前",IF(AND('今日提醒'!$B$2&gt;=$P27,'今日提醒'!$B$2&lt;=$Q27),"二次排查",IF(AND(OR($A27="Chinese New Year",$A27="Super Bowl",$A27="Valentine's Day",$A27="Valentine Week",$A27="St. Patrick's Day",$A27="Easter",$A27="Graduation Season",$A27="Prom Season",$A27="Teacher Appreciation Week",$A27="Mother's Day",$A27="Memorial Day",$A27="Father's Day",$A27="Independence Day",$A27="Back-to-School Season",$A27="Labor Day",$A27="Halloween",$A27="Thanksgiving",$A27="Black Friday / Cyber Monday",$A27="Christmas",$A27="New Year's Eve / New Year Season"),'今日提醒'!$B$2&gt;=($P27-14),'今日提醒'!$B$2&lt;$P27,'今日提醒'!$B$2&lt;$L27),"临近二次",IF(AND('今日提醒'!$B$2&gt;=$N27,'今日提醒'!$B$2&lt;=$O27),"一次排查",IF('今日提醒'!$B$2&lt;$N27,"未到排查",IF('今日提醒'!$B$2&lt;$L27,"等待下一窗口","已过"))))))))))))</x:f>
        <x:v>已过</x:v>
      </x:c>
      <x:c r="K27" s="41" t="str">
        <x:f>IF($J27="收尾下滑","主购买/高频窗口已过，流量可能走弱：不要盲目加预算或新建组；优先看库存压力、ACOS、广告占比、自然单，仅保留高转化词，计算清货/留仓。",IF($J27="节后清尾","节点已过但仍在清尾窗口：控低效词、降无效预算，复盘转化词；库存重则算清货，库存轻则吃完尾流。",IF($J27="节点当日","今天就是节点当日：优先看转化、库存承接、广告花费和尾流风险；可以吃最后一波有效流量，但不要再大范围新建或盲目加预算。",IF($J27="节点进行中","当前在节点/销售窗口内：这是进行中，不是预热；重点看销量、库存承接、广告花费、转化和是否已出现流量下滑。",IF($J27="高频跟进","今天在高频跟进窗口：头部SKU每日看；重点看高库存、高花费、断货风险和ACOS。",IF($J27="临近高频","高频窗口即将开始：今天先预查广告结构、关键词/ASIN、Listing埋词、库存承接和预算，避免临近节点再补。",IF($J27="大节气提前","大节气提前窗口：不要等高频当天再动；今天先锁定主推SKU、库存承接、Listing节日词、广告结构和预算上限，低相关/低库存产品不硬推。",IF($J27="二次排查","今天在二次排查窗口：补广告结构、关键词/ASIN、预算和Listing埋词。",IF($J27="临近二次","大节气二次排查即将开始：提前准备词/ASIN/图片/价格/促销，不等窗口当天才补结构。",IF($J27="一次排查","今天在一次排查窗口：先筛SKU，看历史动销、库存、利润和Listing匹配。",IF($J27="未到排查","暂不处理，等一次排查窗口。",IF($J27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27" s="42" t="n">
        <x:v>46042</x:v>
      </x:c>
      <x:c r="M27" s="42" t="n">
        <x:v>46091</x:v>
      </x:c>
      <x:c r="N27" s="42" t="n">
        <x:v>45952</x:v>
      </x:c>
      <x:c r="O27" s="42" t="n">
        <x:v>45966</x:v>
      </x:c>
      <x:c r="P27" s="42" t="n">
        <x:v>45997</x:v>
      </x:c>
      <x:c r="Q27" s="42" t="n">
        <x:v>46011</x:v>
      </x:c>
      <x:c r="R27" s="42" t="n">
        <x:v>46028</x:v>
      </x:c>
      <x:c r="S27" s="42" t="n">
        <x:v>46066</x:v>
      </x:c>
      <x:c r="T27" s="43" t="n">
        <x:f>$L27-'今日提醒'!$B$2</x:f>
        <x:v>-125</x:v>
      </x:c>
      <x:c r="U27" s="74" t="n">
        <x:f>IF(OR($J27="收尾下滑",$J27="节后清尾",$J27="节点当日",$J27="节点进行中",$J27="高频跟进",$J27="临近高频",$J27="大节气提前",$J27="二次排查",$J27="临近二次",$J27="一次排查"),IF($J27="收尾下滑",1,IF($J27="节后清尾",2,IF($J27="节点当日",3,IF($J27="节点进行中",4,IF($J27="高频跟进",5,IF($J27="临近高频",6,IF($J27="大节气提前",7,IF($J27="二次排查",8,IF($J27="临近二次",9,10)))))))))*100000+ROW(),99999999+ROW())</x:f>
        <x:v>100000026</x:v>
      </x:c>
      <x:c r="V27" s="15" t="str">
        <x:f>IF(OR($J27="收尾下滑",$J27="节后清尾"),"风险/止损",IF($J27="节点当日","机会/当日冲刺",IF($J27="节点进行中","机会/进行中",IF($J27="高频跟进","机会/高频",IF($J27="大节气提前","机会/大节气提前",IF(OR($J27="临近高频",$J27="临近二次",$J27="二次排查",$J27="一次排查"),"机会/预热","非今日"))))))</x:f>
        <x:v>非今日</x:v>
      </x:c>
      <x:c r="W27" s="15" t="str">
        <x:f>IF($J27="收尾下滑","控投/清尾/算留仓",IF($J27="节后清尾","节后降投/复盘",IF($J27="节点当日","当日冲刺/控尾流",IF($J27="节点进行中","转化监控/看趋势",IF($J27="高频跟进","放量+控ACOS",IF($J27="大节气提前","提前锁结构/预算",IF($J27="临近高频","预查结构/埋词",IF($J27="临近二次","提前补结构/埋词",IF($J27="二次排查","补结构/补词",IF($J27="一次排查","筛SKU/核库存","暂无"))))))))))</x:f>
        <x:v>暂无</x:v>
      </x:c>
      <x:c r="X27" s="15" t="str">
        <x:f>IF(AND('今日提醒'!$B$2&gt;=$L27,'今日提醒'!$B$2&lt;=$M27,$L27=$M27),"节点当日：不是预热",IF(AND('今日提醒'!$B$2&gt;=$L27,'今日提醒'!$B$2&lt;=$M27,'今日提醒'!$B$2&gt;$S27),"高频已结束但销售窗口未结束：疑似尾期/下滑",IF(AND('今日提醒'!$B$2&gt;$M27,'今日提醒'!$B$2&lt;=$S27),"节点已过但仍在清尾窗口",IF($J27="大节气提前","大节气高频前30天：提前进入主推准备",IF($J27="临近二次","大节气二次排查前14天：提前准备","")))))</x:f>
      </x:c>
    </x:row>
    <x:row r="28" ht="58" hidden="0" customHeight="1">
      <x:c r="A28" s="41" t="str">
        <x:v>April Fools' Day</x:v>
      </x:c>
      <x:c r="B28" s="41" t="str">
        <x:v>愚人节</x:v>
      </x:c>
      <x:c r="C28" s="41" t="str">
        <x:v>轻松恶搞与派对互动节点，适合搞笑礼物、办公室互动小物。</x:v>
      </x:c>
      <x:c r="D28" s="41" t="str">
        <x:v>2026-04-01</x:v>
      </x:c>
      <x:c r="E28" s="41" t="str">
        <x:v>固定日期</x:v>
      </x:c>
      <x:c r="F28" s="41" t="str">
        <x:v>搞怪小礼物、party favors、办公室轻娱乐用品</x:v>
      </x:c>
      <x:c r="G28" s="41" t="str">
        <x:v>2026-01-31 ~ 2026-02-15：先筛匹配SKU、历史销量、库存和利润空间。</x:v>
      </x:c>
      <x:c r="H28" s="41" t="str">
        <x:v>2026-03-02 ~ 2026-03-11：补关键词/ASIN、Listing埋词和广告预算。</x:v>
      </x:c>
      <x:c r="I28" s="41" t="str">
        <x:v>2026-03-18 ~ 2026-04-03：重点SKU每日看，普通SKU每2-3天看。</x:v>
      </x:c>
      <x:c r="J28" s="41" t="str">
        <x:f>IF(AND('今日提醒'!$B$2&gt;=$L28,'今日提醒'!$B$2&lt;=$M28,$L28=$M28),"节点当日",IF(AND('今日提醒'!$B$2&gt;=$L28,'今日提醒'!$B$2&lt;=$M28,'今日提醒'!$B$2&gt;$S28),"收尾下滑",IF(AND('今日提醒'!$B$2&gt;=$L28,'今日提醒'!$B$2&lt;=$M28),"节点进行中",IF(AND('今日提醒'!$B$2&gt;$M28,'今日提醒'!$B$2&lt;=$S28),"节后清尾",IF(AND('今日提醒'!$B$2&gt;=$R28,'今日提醒'!$B$2&lt;=$S28),"高频跟进",IF(AND('今日提醒'!$B$2&gt;=($R28-14),'今日提醒'!$B$2&lt;$R28,'今日提醒'!$B$2&lt;$L28),"临近高频",IF(AND(OR($A28="Chinese New Year",$A28="Super Bowl",$A28="Valentine's Day",$A28="Valentine Week",$A28="St. Patrick's Day",$A28="Easter",$A28="Graduation Season",$A28="Prom Season",$A28="Teacher Appreciation Week",$A28="Mother's Day",$A28="Memorial Day",$A28="Father's Day",$A28="Independence Day",$A28="Back-to-School Season",$A28="Labor Day",$A28="Halloween",$A28="Thanksgiving",$A28="Black Friday / Cyber Monday",$A28="Christmas",$A28="New Year's Eve / New Year Season"),'今日提醒'!$B$2&gt;=($R28-30),'今日提醒'!$B$2&lt;$R28,'今日提醒'!$B$2&lt;$L28),"大节气提前",IF(AND('今日提醒'!$B$2&gt;=$P28,'今日提醒'!$B$2&lt;=$Q28),"二次排查",IF(AND(OR($A28="Chinese New Year",$A28="Super Bowl",$A28="Valentine's Day",$A28="Valentine Week",$A28="St. Patrick's Day",$A28="Easter",$A28="Graduation Season",$A28="Prom Season",$A28="Teacher Appreciation Week",$A28="Mother's Day",$A28="Memorial Day",$A28="Father's Day",$A28="Independence Day",$A28="Back-to-School Season",$A28="Labor Day",$A28="Halloween",$A28="Thanksgiving",$A28="Black Friday / Cyber Monday",$A28="Christmas",$A28="New Year's Eve / New Year Season"),'今日提醒'!$B$2&gt;=($P28-14),'今日提醒'!$B$2&lt;$P28,'今日提醒'!$B$2&lt;$L28),"临近二次",IF(AND('今日提醒'!$B$2&gt;=$N28,'今日提醒'!$B$2&lt;=$O28),"一次排查",IF('今日提醒'!$B$2&lt;$N28,"未到排查",IF('今日提醒'!$B$2&lt;$L28,"等待下一窗口","已过"))))))))))))</x:f>
        <x:v>已过</x:v>
      </x:c>
      <x:c r="K28" s="41" t="str">
        <x:f>IF($J28="收尾下滑","主购买/高频窗口已过，流量可能走弱：不要盲目加预算或新建组；优先看库存压力、ACOS、广告占比、自然单，仅保留高转化词，计算清货/留仓。",IF($J28="节后清尾","节点已过但仍在清尾窗口：控低效词、降无效预算，复盘转化词；库存重则算清货，库存轻则吃完尾流。",IF($J28="节点当日","今天就是节点当日：优先看转化、库存承接、广告花费和尾流风险；可以吃最后一波有效流量，但不要再大范围新建或盲目加预算。",IF($J28="节点进行中","当前在节点/销售窗口内：这是进行中，不是预热；重点看销量、库存承接、广告花费、转化和是否已出现流量下滑。",IF($J28="高频跟进","今天在高频跟进窗口：头部SKU每日看；重点看高库存、高花费、断货风险和ACOS。",IF($J28="临近高频","高频窗口即将开始：今天先预查广告结构、关键词/ASIN、Listing埋词、库存承接和预算，避免临近节点再补。",IF($J28="大节气提前","大节气提前窗口：不要等高频当天再动；今天先锁定主推SKU、库存承接、Listing节日词、广告结构和预算上限，低相关/低库存产品不硬推。",IF($J28="二次排查","今天在二次排查窗口：补广告结构、关键词/ASIN、预算和Listing埋词。",IF($J28="临近二次","大节气二次排查即将开始：提前准备词/ASIN/图片/价格/促销，不等窗口当天才补结构。",IF($J28="一次排查","今天在一次排查窗口：先筛SKU，看历史动销、库存、利润和Listing匹配。",IF($J28="未到排查","暂不处理，等一次排查窗口。",IF($J28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28" s="42" t="n">
        <x:v>46113</x:v>
      </x:c>
      <x:c r="M28" s="42" t="n">
        <x:v>46113</x:v>
      </x:c>
      <x:c r="N28" s="42" t="n">
        <x:v>46053</x:v>
      </x:c>
      <x:c r="O28" s="42" t="n">
        <x:v>46068</x:v>
      </x:c>
      <x:c r="P28" s="42" t="n">
        <x:v>46083</x:v>
      </x:c>
      <x:c r="Q28" s="42" t="n">
        <x:v>46092</x:v>
      </x:c>
      <x:c r="R28" s="42" t="n">
        <x:v>46099</x:v>
      </x:c>
      <x:c r="S28" s="42" t="n">
        <x:v>46115</x:v>
      </x:c>
      <x:c r="T28" s="43" t="n">
        <x:f>$L28-'今日提醒'!$B$2</x:f>
        <x:v>-54</x:v>
      </x:c>
      <x:c r="U28" s="74" t="n">
        <x:f>IF(OR($J28="收尾下滑",$J28="节后清尾",$J28="节点当日",$J28="节点进行中",$J28="高频跟进",$J28="临近高频",$J28="大节气提前",$J28="二次排查",$J28="临近二次",$J28="一次排查"),IF($J28="收尾下滑",1,IF($J28="节后清尾",2,IF($J28="节点当日",3,IF($J28="节点进行中",4,IF($J28="高频跟进",5,IF($J28="临近高频",6,IF($J28="大节气提前",7,IF($J28="二次排查",8,IF($J28="临近二次",9,10)))))))))*100000+ROW(),99999999+ROW())</x:f>
        <x:v>100000027</x:v>
      </x:c>
      <x:c r="V28" s="15" t="str">
        <x:f>IF(OR($J28="收尾下滑",$J28="节后清尾"),"风险/止损",IF($J28="节点当日","机会/当日冲刺",IF($J28="节点进行中","机会/进行中",IF($J28="高频跟进","机会/高频",IF($J28="大节气提前","机会/大节气提前",IF(OR($J28="临近高频",$J28="临近二次",$J28="二次排查",$J28="一次排查"),"机会/预热","非今日"))))))</x:f>
        <x:v>非今日</x:v>
      </x:c>
      <x:c r="W28" s="15" t="str">
        <x:f>IF($J28="收尾下滑","控投/清尾/算留仓",IF($J28="节后清尾","节后降投/复盘",IF($J28="节点当日","当日冲刺/控尾流",IF($J28="节点进行中","转化监控/看趋势",IF($J28="高频跟进","放量+控ACOS",IF($J28="大节气提前","提前锁结构/预算",IF($J28="临近高频","预查结构/埋词",IF($J28="临近二次","提前补结构/埋词",IF($J28="二次排查","补结构/补词",IF($J28="一次排查","筛SKU/核库存","暂无"))))))))))</x:f>
        <x:v>暂无</x:v>
      </x:c>
      <x:c r="X28" s="15" t="str">
        <x:f>IF(AND('今日提醒'!$B$2&gt;=$L28,'今日提醒'!$B$2&lt;=$M28,$L28=$M28),"节点当日：不是预热",IF(AND('今日提醒'!$B$2&gt;=$L28,'今日提醒'!$B$2&lt;=$M28,'今日提醒'!$B$2&gt;$S28),"高频已结束但销售窗口未结束：疑似尾期/下滑",IF(AND('今日提醒'!$B$2&gt;$M28,'今日提醒'!$B$2&lt;=$S28),"节点已过但仍在清尾窗口",IF($J28="大节气提前","大节气高频前30天：提前进入主推准备",IF($J28="临近二次","大节气二次排查前14天：提前准备","")))))</x:f>
      </x:c>
    </x:row>
    <x:row r="29" ht="58" hidden="0" customHeight="1">
      <x:c r="A29" s="41" t="str">
        <x:v>Autism Awareness Day</x:v>
      </x:c>
      <x:c r="B29" s="41" t="str">
        <x:v>世界自闭症关注日</x:v>
      </x:c>
      <x:c r="C29" s="41" t="str">
        <x:v>蓝色丝带与自闭症认知主题节点，适合公益、支持、意识提升类产品。</x:v>
      </x:c>
      <x:c r="D29" s="41" t="str">
        <x:v>2026-04-02</x:v>
      </x:c>
      <x:c r="E29" s="41" t="str">
        <x:v>固定日期</x:v>
      </x:c>
      <x:c r="F29" s="41" t="str">
        <x:v>意识/支持类产品：丝带、手链、鼓励卡、贴纸；敏感节点商业化要克制</x:v>
      </x:c>
      <x:c r="G29" s="41" t="str">
        <x:v>2026-01-02 ~ 2026-01-17：先确认产品真实匹配，避免硬蹭敏感议题。</x:v>
      </x:c>
      <x:c r="H29" s="41" t="str">
        <x:v>2026-02-16 ~ 2026-02-26：检查图片/文案/关键词是否克制且合规。</x:v>
      </x:c>
      <x:c r="I29" s="41" t="str">
        <x:v>2026-03-19 ~ 2026-04-02：每2-3天看；表现差或表达风险高就停。</x:v>
      </x:c>
      <x:c r="J29" s="41" t="str">
        <x:f>IF(AND('今日提醒'!$B$2&gt;=$L29,'今日提醒'!$B$2&lt;=$M29,$L29=$M29),"节点当日",IF(AND('今日提醒'!$B$2&gt;=$L29,'今日提醒'!$B$2&lt;=$M29,'今日提醒'!$B$2&gt;$S29),"收尾下滑",IF(AND('今日提醒'!$B$2&gt;=$L29,'今日提醒'!$B$2&lt;=$M29),"节点进行中",IF(AND('今日提醒'!$B$2&gt;$M29,'今日提醒'!$B$2&lt;=$S29),"节后清尾",IF(AND('今日提醒'!$B$2&gt;=$R29,'今日提醒'!$B$2&lt;=$S29),"高频跟进",IF(AND('今日提醒'!$B$2&gt;=($R29-14),'今日提醒'!$B$2&lt;$R29,'今日提醒'!$B$2&lt;$L29),"临近高频",IF(AND(OR($A29="Chinese New Year",$A29="Super Bowl",$A29="Valentine's Day",$A29="Valentine Week",$A29="St. Patrick's Day",$A29="Easter",$A29="Graduation Season",$A29="Prom Season",$A29="Teacher Appreciation Week",$A29="Mother's Day",$A29="Memorial Day",$A29="Father's Day",$A29="Independence Day",$A29="Back-to-School Season",$A29="Labor Day",$A29="Halloween",$A29="Thanksgiving",$A29="Black Friday / Cyber Monday",$A29="Christmas",$A29="New Year's Eve / New Year Season"),'今日提醒'!$B$2&gt;=($R29-30),'今日提醒'!$B$2&lt;$R29,'今日提醒'!$B$2&lt;$L29),"大节气提前",IF(AND('今日提醒'!$B$2&gt;=$P29,'今日提醒'!$B$2&lt;=$Q29),"二次排查",IF(AND(OR($A29="Chinese New Year",$A29="Super Bowl",$A29="Valentine's Day",$A29="Valentine Week",$A29="St. Patrick's Day",$A29="Easter",$A29="Graduation Season",$A29="Prom Season",$A29="Teacher Appreciation Week",$A29="Mother's Day",$A29="Memorial Day",$A29="Father's Day",$A29="Independence Day",$A29="Back-to-School Season",$A29="Labor Day",$A29="Halloween",$A29="Thanksgiving",$A29="Black Friday / Cyber Monday",$A29="Christmas",$A29="New Year's Eve / New Year Season"),'今日提醒'!$B$2&gt;=($P29-14),'今日提醒'!$B$2&lt;$P29,'今日提醒'!$B$2&lt;$L29),"临近二次",IF(AND('今日提醒'!$B$2&gt;=$N29,'今日提醒'!$B$2&lt;=$O29),"一次排查",IF('今日提醒'!$B$2&lt;$N29,"未到排查",IF('今日提醒'!$B$2&lt;$L29,"等待下一窗口","已过"))))))))))))</x:f>
        <x:v>已过</x:v>
      </x:c>
      <x:c r="K29" s="41" t="str">
        <x:f>IF($J29="收尾下滑","主购买/高频窗口已过，流量可能走弱：不要盲目加预算或新建组；优先看库存压力、ACOS、广告占比、自然单，仅保留高转化词，计算清货/留仓。",IF($J29="节后清尾","节点已过但仍在清尾窗口：控低效词、降无效预算，复盘转化词；库存重则算清货，库存轻则吃完尾流。",IF($J29="节点当日","今天就是节点当日：优先看转化、库存承接、广告花费和尾流风险；可以吃最后一波有效流量，但不要再大范围新建或盲目加预算。",IF($J29="节点进行中","当前在节点/销售窗口内：这是进行中，不是预热；重点看销量、库存承接、广告花费、转化和是否已出现流量下滑。",IF($J29="高频跟进","今天在高频跟进窗口：头部SKU每日看；重点看高库存、高花费、断货风险和ACOS。",IF($J29="临近高频","高频窗口即将开始：今天先预查广告结构、关键词/ASIN、Listing埋词、库存承接和预算，避免临近节点再补。",IF($J29="大节气提前","大节气提前窗口：不要等高频当天再动；今天先锁定主推SKU、库存承接、Listing节日词、广告结构和预算上限，低相关/低库存产品不硬推。",IF($J29="二次排查","今天在二次排查窗口：补广告结构、关键词/ASIN、预算和Listing埋词。",IF($J29="临近二次","大节气二次排查即将开始：提前准备词/ASIN/图片/价格/促销，不等窗口当天才补结构。",IF($J29="一次排查","今天在一次排查窗口：先筛SKU，看历史动销、库存、利润和Listing匹配。",IF($J29="未到排查","暂不处理，等一次排查窗口。",IF($J29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29" s="42" t="n">
        <x:v>46114</x:v>
      </x:c>
      <x:c r="M29" s="42" t="n">
        <x:v>46114</x:v>
      </x:c>
      <x:c r="N29" s="42" t="n">
        <x:v>46024</x:v>
      </x:c>
      <x:c r="O29" s="42" t="n">
        <x:v>46039</x:v>
      </x:c>
      <x:c r="P29" s="42" t="n">
        <x:v>46069</x:v>
      </x:c>
      <x:c r="Q29" s="42" t="n">
        <x:v>46079</x:v>
      </x:c>
      <x:c r="R29" s="42" t="n">
        <x:v>46100</x:v>
      </x:c>
      <x:c r="S29" s="42" t="n">
        <x:v>46114</x:v>
      </x:c>
      <x:c r="T29" s="43" t="n">
        <x:f>$L29-'今日提醒'!$B$2</x:f>
        <x:v>-53</x:v>
      </x:c>
      <x:c r="U29" s="74" t="n">
        <x:f>IF(OR($J29="收尾下滑",$J29="节后清尾",$J29="节点当日",$J29="节点进行中",$J29="高频跟进",$J29="临近高频",$J29="大节气提前",$J29="二次排查",$J29="临近二次",$J29="一次排查"),IF($J29="收尾下滑",1,IF($J29="节后清尾",2,IF($J29="节点当日",3,IF($J29="节点进行中",4,IF($J29="高频跟进",5,IF($J29="临近高频",6,IF($J29="大节气提前",7,IF($J29="二次排查",8,IF($J29="临近二次",9,10)))))))))*100000+ROW(),99999999+ROW())</x:f>
        <x:v>100000028</x:v>
      </x:c>
      <x:c r="V29" s="15" t="str">
        <x:f>IF(OR($J29="收尾下滑",$J29="节后清尾"),"风险/止损",IF($J29="节点当日","机会/当日冲刺",IF($J29="节点进行中","机会/进行中",IF($J29="高频跟进","机会/高频",IF($J29="大节气提前","机会/大节气提前",IF(OR($J29="临近高频",$J29="临近二次",$J29="二次排查",$J29="一次排查"),"机会/预热","非今日"))))))</x:f>
        <x:v>非今日</x:v>
      </x:c>
      <x:c r="W29" s="15" t="str">
        <x:f>IF($J29="收尾下滑","控投/清尾/算留仓",IF($J29="节后清尾","节后降投/复盘",IF($J29="节点当日","当日冲刺/控尾流",IF($J29="节点进行中","转化监控/看趋势",IF($J29="高频跟进","放量+控ACOS",IF($J29="大节气提前","提前锁结构/预算",IF($J29="临近高频","预查结构/埋词",IF($J29="临近二次","提前补结构/埋词",IF($J29="二次排查","补结构/补词",IF($J29="一次排查","筛SKU/核库存","暂无"))))))))))</x:f>
        <x:v>暂无</x:v>
      </x:c>
      <x:c r="X29" s="15" t="str">
        <x:f>IF(AND('今日提醒'!$B$2&gt;=$L29,'今日提醒'!$B$2&lt;=$M29,$L29=$M29),"节点当日：不是预热",IF(AND('今日提醒'!$B$2&gt;=$L29,'今日提醒'!$B$2&lt;=$M29,'今日提醒'!$B$2&gt;$S29),"高频已结束但销售窗口未结束：疑似尾期/下滑",IF(AND('今日提醒'!$B$2&gt;$M29,'今日提醒'!$B$2&lt;=$S29),"节点已过但仍在清尾窗口",IF($J29="大节气提前","大节气高频前30天：提前进入主推准备",IF($J29="临近二次","大节气二次排查前14天：提前准备","")))))</x:f>
      </x:c>
    </x:row>
    <x:row r="30" ht="58" hidden="0" customHeight="1">
      <x:c r="A30" s="41" t="str">
        <x:v>Paraprofessional Appreciation Day</x:v>
      </x:c>
      <x:c r="B30" s="41" t="str">
        <x:v>教育助理感谢日</x:v>
      </x:c>
      <x:c r="C30" s="41" t="str">
        <x:v>感谢课堂助教、特殊教育助理等辅助教育人员，适合批量感谢礼。</x:v>
      </x:c>
      <x:c r="D30" s="41" t="str">
        <x:v>2026-04-01</x:v>
      </x:c>
      <x:c r="E30" s="41" t="str">
        <x:v>每年变动</x:v>
      </x:c>
      <x:c r="F30" s="41" t="str">
        <x:v>para appreciation gifts、classroom assistant礼品、老师助理感谢卡</x:v>
      </x:c>
      <x:c r="G30" s="41" t="str">
        <x:v>2026-01-31 ~ 2026-02-15：先筛匹配SKU、历史销量、库存和利润空间。</x:v>
      </x:c>
      <x:c r="H30" s="41" t="str">
        <x:v>2026-03-02 ~ 2026-03-11：补关键词/ASIN、Listing埋词和广告预算。</x:v>
      </x:c>
      <x:c r="I30" s="41" t="str">
        <x:v>2026-03-18 ~ 2026-04-03：重点SKU每日看，普通SKU每2-3天看。</x:v>
      </x:c>
      <x:c r="J30" s="41" t="str">
        <x:f>IF(AND('今日提醒'!$B$2&gt;=$L30,'今日提醒'!$B$2&lt;=$M30,$L30=$M30),"节点当日",IF(AND('今日提醒'!$B$2&gt;=$L30,'今日提醒'!$B$2&lt;=$M30,'今日提醒'!$B$2&gt;$S30),"收尾下滑",IF(AND('今日提醒'!$B$2&gt;=$L30,'今日提醒'!$B$2&lt;=$M30),"节点进行中",IF(AND('今日提醒'!$B$2&gt;$M30,'今日提醒'!$B$2&lt;=$S30),"节后清尾",IF(AND('今日提醒'!$B$2&gt;=$R30,'今日提醒'!$B$2&lt;=$S30),"高频跟进",IF(AND('今日提醒'!$B$2&gt;=($R30-14),'今日提醒'!$B$2&lt;$R30,'今日提醒'!$B$2&lt;$L30),"临近高频",IF(AND(OR($A30="Chinese New Year",$A30="Super Bowl",$A30="Valentine's Day",$A30="Valentine Week",$A30="St. Patrick's Day",$A30="Easter",$A30="Graduation Season",$A30="Prom Season",$A30="Teacher Appreciation Week",$A30="Mother's Day",$A30="Memorial Day",$A30="Father's Day",$A30="Independence Day",$A30="Back-to-School Season",$A30="Labor Day",$A30="Halloween",$A30="Thanksgiving",$A30="Black Friday / Cyber Monday",$A30="Christmas",$A30="New Year's Eve / New Year Season"),'今日提醒'!$B$2&gt;=($R30-30),'今日提醒'!$B$2&lt;$R30,'今日提醒'!$B$2&lt;$L30),"大节气提前",IF(AND('今日提醒'!$B$2&gt;=$P30,'今日提醒'!$B$2&lt;=$Q30),"二次排查",IF(AND(OR($A30="Chinese New Year",$A30="Super Bowl",$A30="Valentine's Day",$A30="Valentine Week",$A30="St. Patrick's Day",$A30="Easter",$A30="Graduation Season",$A30="Prom Season",$A30="Teacher Appreciation Week",$A30="Mother's Day",$A30="Memorial Day",$A30="Father's Day",$A30="Independence Day",$A30="Back-to-School Season",$A30="Labor Day",$A30="Halloween",$A30="Thanksgiving",$A30="Black Friday / Cyber Monday",$A30="Christmas",$A30="New Year's Eve / New Year Season"),'今日提醒'!$B$2&gt;=($P30-14),'今日提醒'!$B$2&lt;$P30,'今日提醒'!$B$2&lt;$L30),"临近二次",IF(AND('今日提醒'!$B$2&gt;=$N30,'今日提醒'!$B$2&lt;=$O30),"一次排查",IF('今日提醒'!$B$2&lt;$N30,"未到排查",IF('今日提醒'!$B$2&lt;$L30,"等待下一窗口","已过"))))))))))))</x:f>
        <x:v>已过</x:v>
      </x:c>
      <x:c r="K30" s="41" t="str">
        <x:f>IF($J30="收尾下滑","主购买/高频窗口已过，流量可能走弱：不要盲目加预算或新建组；优先看库存压力、ACOS、广告占比、自然单，仅保留高转化词，计算清货/留仓。",IF($J30="节后清尾","节点已过但仍在清尾窗口：控低效词、降无效预算，复盘转化词；库存重则算清货，库存轻则吃完尾流。",IF($J30="节点当日","今天就是节点当日：优先看转化、库存承接、广告花费和尾流风险；可以吃最后一波有效流量，但不要再大范围新建或盲目加预算。",IF($J30="节点进行中","当前在节点/销售窗口内：这是进行中，不是预热；重点看销量、库存承接、广告花费、转化和是否已出现流量下滑。",IF($J30="高频跟进","今天在高频跟进窗口：头部SKU每日看；重点看高库存、高花费、断货风险和ACOS。",IF($J30="临近高频","高频窗口即将开始：今天先预查广告结构、关键词/ASIN、Listing埋词、库存承接和预算，避免临近节点再补。",IF($J30="大节气提前","大节气提前窗口：不要等高频当天再动；今天先锁定主推SKU、库存承接、Listing节日词、广告结构和预算上限，低相关/低库存产品不硬推。",IF($J30="二次排查","今天在二次排查窗口：补广告结构、关键词/ASIN、预算和Listing埋词。",IF($J30="临近二次","大节气二次排查即将开始：提前准备词/ASIN/图片/价格/促销，不等窗口当天才补结构。",IF($J30="一次排查","今天在一次排查窗口：先筛SKU，看历史动销、库存、利润和Listing匹配。",IF($J30="未到排查","暂不处理，等一次排查窗口。",IF($J30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30" s="42" t="n">
        <x:v>46113</x:v>
      </x:c>
      <x:c r="M30" s="42" t="n">
        <x:v>46113</x:v>
      </x:c>
      <x:c r="N30" s="42" t="n">
        <x:v>46053</x:v>
      </x:c>
      <x:c r="O30" s="42" t="n">
        <x:v>46068</x:v>
      </x:c>
      <x:c r="P30" s="42" t="n">
        <x:v>46083</x:v>
      </x:c>
      <x:c r="Q30" s="42" t="n">
        <x:v>46092</x:v>
      </x:c>
      <x:c r="R30" s="42" t="n">
        <x:v>46099</x:v>
      </x:c>
      <x:c r="S30" s="42" t="n">
        <x:v>46115</x:v>
      </x:c>
      <x:c r="T30" s="43" t="n">
        <x:f>$L30-'今日提醒'!$B$2</x:f>
        <x:v>-54</x:v>
      </x:c>
      <x:c r="U30" s="74" t="n">
        <x:f>IF(OR($J30="收尾下滑",$J30="节后清尾",$J30="节点当日",$J30="节点进行中",$J30="高频跟进",$J30="临近高频",$J30="大节气提前",$J30="二次排查",$J30="临近二次",$J30="一次排查"),IF($J30="收尾下滑",1,IF($J30="节后清尾",2,IF($J30="节点当日",3,IF($J30="节点进行中",4,IF($J30="高频跟进",5,IF($J30="临近高频",6,IF($J30="大节气提前",7,IF($J30="二次排查",8,IF($J30="临近二次",9,10)))))))))*100000+ROW(),99999999+ROW())</x:f>
        <x:v>100000029</x:v>
      </x:c>
      <x:c r="V30" s="15" t="str">
        <x:f>IF(OR($J30="收尾下滑",$J30="节后清尾"),"风险/止损",IF($J30="节点当日","机会/当日冲刺",IF($J30="节点进行中","机会/进行中",IF($J30="高频跟进","机会/高频",IF($J30="大节气提前","机会/大节气提前",IF(OR($J30="临近高频",$J30="临近二次",$J30="二次排查",$J30="一次排查"),"机会/预热","非今日"))))))</x:f>
        <x:v>非今日</x:v>
      </x:c>
      <x:c r="W30" s="15" t="str">
        <x:f>IF($J30="收尾下滑","控投/清尾/算留仓",IF($J30="节后清尾","节后降投/复盘",IF($J30="节点当日","当日冲刺/控尾流",IF($J30="节点进行中","转化监控/看趋势",IF($J30="高频跟进","放量+控ACOS",IF($J30="大节气提前","提前锁结构/预算",IF($J30="临近高频","预查结构/埋词",IF($J30="临近二次","提前补结构/埋词",IF($J30="二次排查","补结构/补词",IF($J30="一次排查","筛SKU/核库存","暂无"))))))))))</x:f>
        <x:v>暂无</x:v>
      </x:c>
      <x:c r="X30" s="15" t="str">
        <x:f>IF(AND('今日提醒'!$B$2&gt;=$L30,'今日提醒'!$B$2&lt;=$M30,$L30=$M30),"节点当日：不是预热",IF(AND('今日提醒'!$B$2&gt;=$L30,'今日提醒'!$B$2&lt;=$M30,'今日提醒'!$B$2&gt;$S30),"高频已结束但销售窗口未结束：疑似尾期/下滑",IF(AND('今日提醒'!$B$2&gt;$M30,'今日提醒'!$B$2&lt;=$S30),"节点已过但仍在清尾窗口",IF($J30="大节气提前","大节气高频前30天：提前进入主推准备",IF($J30="临近二次","大节气二次排查前14天：提前准备","")))))</x:f>
      </x:c>
    </x:row>
    <x:row r="31" ht="58" hidden="0" customHeight="1">
      <x:c r="A31" s="41" t="str">
        <x:v>Occupational Therapy Month</x:v>
      </x:c>
      <x:c r="B31" s="41" t="str">
        <x:v>职业治疗月</x:v>
      </x:c>
      <x:c r="C31" s="41" t="str">
        <x:v>整月关注职业治疗师与康复辅助专业，适合OT主题感谢礼。</x:v>
      </x:c>
      <x:c r="D31" s="41" t="str">
        <x:v>2026-04-01 ~ 2026-04-30</x:v>
      </x:c>
      <x:c r="E31" s="41" t="str">
        <x:v>固定月份</x:v>
      </x:c>
      <x:c r="F31" s="41" t="str">
        <x:v>OT gifts、occupational therapist感谢礼、therapy staff礼品</x:v>
      </x:c>
      <x:c r="G31" s="41" t="str">
        <x:v>2026-01-01 ~ 2026-01-16：筛对应SKU、查历史销量/库存/利润空间。</x:v>
      </x:c>
      <x:c r="H31" s="41" t="str">
        <x:v>2026-02-15 ~ 2026-02-25：补广告结构、关键词和Listing埋词。</x:v>
      </x:c>
      <x:c r="I31" s="41" t="str">
        <x:v>2026-03-18 ~ 2026-03-25：重点SKU每日或隔日看，长尾每周2次。</x:v>
      </x:c>
      <x:c r="J31" s="41" t="str">
        <x:f>IF(AND('今日提醒'!$B$2&gt;=$L31,'今日提醒'!$B$2&lt;=$M31,$L31=$M31),"节点当日",IF(AND('今日提醒'!$B$2&gt;=$L31,'今日提醒'!$B$2&lt;=$M31,'今日提醒'!$B$2&gt;$S31),"收尾下滑",IF(AND('今日提醒'!$B$2&gt;=$L31,'今日提醒'!$B$2&lt;=$M31),"节点进行中",IF(AND('今日提醒'!$B$2&gt;$M31,'今日提醒'!$B$2&lt;=$S31),"节后清尾",IF(AND('今日提醒'!$B$2&gt;=$R31,'今日提醒'!$B$2&lt;=$S31),"高频跟进",IF(AND('今日提醒'!$B$2&gt;=($R31-14),'今日提醒'!$B$2&lt;$R31,'今日提醒'!$B$2&lt;$L31),"临近高频",IF(AND(OR($A31="Chinese New Year",$A31="Super Bowl",$A31="Valentine's Day",$A31="Valentine Week",$A31="St. Patrick's Day",$A31="Easter",$A31="Graduation Season",$A31="Prom Season",$A31="Teacher Appreciation Week",$A31="Mother's Day",$A31="Memorial Day",$A31="Father's Day",$A31="Independence Day",$A31="Back-to-School Season",$A31="Labor Day",$A31="Halloween",$A31="Thanksgiving",$A31="Black Friday / Cyber Monday",$A31="Christmas",$A31="New Year's Eve / New Year Season"),'今日提醒'!$B$2&gt;=($R31-30),'今日提醒'!$B$2&lt;$R31,'今日提醒'!$B$2&lt;$L31),"大节气提前",IF(AND('今日提醒'!$B$2&gt;=$P31,'今日提醒'!$B$2&lt;=$Q31),"二次排查",IF(AND(OR($A31="Chinese New Year",$A31="Super Bowl",$A31="Valentine's Day",$A31="Valentine Week",$A31="St. Patrick's Day",$A31="Easter",$A31="Graduation Season",$A31="Prom Season",$A31="Teacher Appreciation Week",$A31="Mother's Day",$A31="Memorial Day",$A31="Father's Day",$A31="Independence Day",$A31="Back-to-School Season",$A31="Labor Day",$A31="Halloween",$A31="Thanksgiving",$A31="Black Friday / Cyber Monday",$A31="Christmas",$A31="New Year's Eve / New Year Season"),'今日提醒'!$B$2&gt;=($P31-14),'今日提醒'!$B$2&lt;$P31,'今日提醒'!$B$2&lt;$L31),"临近二次",IF(AND('今日提醒'!$B$2&gt;=$N31,'今日提醒'!$B$2&lt;=$O31),"一次排查",IF('今日提醒'!$B$2&lt;$N31,"未到排查",IF('今日提醒'!$B$2&lt;$L31,"等待下一窗口","已过"))))))))))))</x:f>
        <x:v>已过</x:v>
      </x:c>
      <x:c r="K31" s="41" t="str">
        <x:f>IF($J31="收尾下滑","主购买/高频窗口已过，流量可能走弱：不要盲目加预算或新建组；优先看库存压力、ACOS、广告占比、自然单，仅保留高转化词，计算清货/留仓。",IF($J31="节后清尾","节点已过但仍在清尾窗口：控低效词、降无效预算，复盘转化词；库存重则算清货，库存轻则吃完尾流。",IF($J31="节点当日","今天就是节点当日：优先看转化、库存承接、广告花费和尾流风险；可以吃最后一波有效流量，但不要再大范围新建或盲目加预算。",IF($J31="节点进行中","当前在节点/销售窗口内：这是进行中，不是预热；重点看销量、库存承接、广告花费、转化和是否已出现流量下滑。",IF($J31="高频跟进","今天在高频跟进窗口：头部SKU每日看；重点看高库存、高花费、断货风险和ACOS。",IF($J31="临近高频","高频窗口即将开始：今天先预查广告结构、关键词/ASIN、Listing埋词、库存承接和预算，避免临近节点再补。",IF($J31="大节气提前","大节气提前窗口：不要等高频当天再动；今天先锁定主推SKU、库存承接、Listing节日词、广告结构和预算上限，低相关/低库存产品不硬推。",IF($J31="二次排查","今天在二次排查窗口：补广告结构、关键词/ASIN、预算和Listing埋词。",IF($J31="临近二次","大节气二次排查即将开始：提前准备词/ASIN/图片/价格/促销，不等窗口当天才补结构。",IF($J31="一次排查","今天在一次排查窗口：先筛SKU，看历史动销、库存、利润和Listing匹配。",IF($J31="未到排查","暂不处理，等一次排查窗口。",IF($J31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31" s="42" t="n">
        <x:v>46113</x:v>
      </x:c>
      <x:c r="M31" s="42" t="n">
        <x:v>46142</x:v>
      </x:c>
      <x:c r="N31" s="42" t="n">
        <x:v>46023</x:v>
      </x:c>
      <x:c r="O31" s="42" t="n">
        <x:v>46038</x:v>
      </x:c>
      <x:c r="P31" s="42" t="n">
        <x:v>46068</x:v>
      </x:c>
      <x:c r="Q31" s="42" t="n">
        <x:v>46078</x:v>
      </x:c>
      <x:c r="R31" s="42" t="n">
        <x:v>46099</x:v>
      </x:c>
      <x:c r="S31" s="42" t="n">
        <x:v>46106</x:v>
      </x:c>
      <x:c r="T31" s="43" t="n">
        <x:f>$L31-'今日提醒'!$B$2</x:f>
        <x:v>-54</x:v>
      </x:c>
      <x:c r="U31" s="74" t="n">
        <x:f>IF(OR($J31="收尾下滑",$J31="节后清尾",$J31="节点当日",$J31="节点进行中",$J31="高频跟进",$J31="临近高频",$J31="大节气提前",$J31="二次排查",$J31="临近二次",$J31="一次排查"),IF($J31="收尾下滑",1,IF($J31="节后清尾",2,IF($J31="节点当日",3,IF($J31="节点进行中",4,IF($J31="高频跟进",5,IF($J31="临近高频",6,IF($J31="大节气提前",7,IF($J31="二次排查",8,IF($J31="临近二次",9,10)))))))))*100000+ROW(),99999999+ROW())</x:f>
        <x:v>100000030</x:v>
      </x:c>
      <x:c r="V31" s="15" t="str">
        <x:f>IF(OR($J31="收尾下滑",$J31="节后清尾"),"风险/止损",IF($J31="节点当日","机会/当日冲刺",IF($J31="节点进行中","机会/进行中",IF($J31="高频跟进","机会/高频",IF($J31="大节气提前","机会/大节气提前",IF(OR($J31="临近高频",$J31="临近二次",$J31="二次排查",$J31="一次排查"),"机会/预热","非今日"))))))</x:f>
        <x:v>非今日</x:v>
      </x:c>
      <x:c r="W31" s="15" t="str">
        <x:f>IF($J31="收尾下滑","控投/清尾/算留仓",IF($J31="节后清尾","节后降投/复盘",IF($J31="节点当日","当日冲刺/控尾流",IF($J31="节点进行中","转化监控/看趋势",IF($J31="高频跟进","放量+控ACOS",IF($J31="大节气提前","提前锁结构/预算",IF($J31="临近高频","预查结构/埋词",IF($J31="临近二次","提前补结构/埋词",IF($J31="二次排查","补结构/补词",IF($J31="一次排查","筛SKU/核库存","暂无"))))))))))</x:f>
        <x:v>暂无</x:v>
      </x:c>
      <x:c r="X31" s="15" t="str">
        <x:f>IF(AND('今日提醒'!$B$2&gt;=$L31,'今日提醒'!$B$2&lt;=$M31,$L31=$M31),"节点当日：不是预热",IF(AND('今日提醒'!$B$2&gt;=$L31,'今日提醒'!$B$2&lt;=$M31,'今日提醒'!$B$2&gt;$S31),"高频已结束但销售窗口未结束：疑似尾期/下滑",IF(AND('今日提醒'!$B$2&gt;$M31,'今日提醒'!$B$2&lt;=$S31),"节点已过但仍在清尾窗口",IF($J31="大节气提前","大节气高频前30天：提前进入主推准备",IF($J31="临近二次","大节气二次排查前14天：提前准备","")))))</x:f>
      </x:c>
    </x:row>
    <x:row r="32" ht="58" hidden="0" customHeight="1">
      <x:c r="A32" s="41" t="str">
        <x:v>Occupational Therapy Week</x:v>
      </x:c>
      <x:c r="B32" s="41" t="str">
        <x:v>职业治疗周</x:v>
      </x:c>
      <x:c r="C32" s="41" t="str">
        <x:v>职业治疗师集中宣传与感谢窗口，适合专业人员礼物。</x:v>
      </x:c>
      <x:c r="D32" s="41" t="str">
        <x:v>2026-04-12 ~ 2026-04-18</x:v>
      </x:c>
      <x:c r="E32" s="41" t="str">
        <x:v>每年变动：4月中旬常用窗口，需按机构日历复核</x:v>
      </x:c>
      <x:c r="F32" s="41" t="str">
        <x:v>OT gifts、occupational therapist感谢礼、therapy staff礼品</x:v>
      </x:c>
      <x:c r="G32" s="41" t="str">
        <x:v>2026-01-27 ~ 2026-02-11：按职业词筛SKU，核库存、历史动销和礼品适配。</x:v>
      </x:c>
      <x:c r="H32" s="41" t="str">
        <x:v>2026-03-03 ~ 2026-03-13：建/补广告组，补关键词/ASIN，处理低效流量。</x:v>
      </x:c>
      <x:c r="I32" s="41" t="str">
        <x:v>2026-03-29 ~ 2026-04-18：高库存/高花费SKU每日看，其余2-3天看。</x:v>
      </x:c>
      <x:c r="J32" s="41" t="str">
        <x:f>IF(AND('今日提醒'!$B$2&gt;=$L32,'今日提醒'!$B$2&lt;=$M32,$L32=$M32),"节点当日",IF(AND('今日提醒'!$B$2&gt;=$L32,'今日提醒'!$B$2&lt;=$M32,'今日提醒'!$B$2&gt;$S32),"收尾下滑",IF(AND('今日提醒'!$B$2&gt;=$L32,'今日提醒'!$B$2&lt;=$M32),"节点进行中",IF(AND('今日提醒'!$B$2&gt;$M32,'今日提醒'!$B$2&lt;=$S32),"节后清尾",IF(AND('今日提醒'!$B$2&gt;=$R32,'今日提醒'!$B$2&lt;=$S32),"高频跟进",IF(AND('今日提醒'!$B$2&gt;=($R32-14),'今日提醒'!$B$2&lt;$R32,'今日提醒'!$B$2&lt;$L32),"临近高频",IF(AND(OR($A32="Chinese New Year",$A32="Super Bowl",$A32="Valentine's Day",$A32="Valentine Week",$A32="St. Patrick's Day",$A32="Easter",$A32="Graduation Season",$A32="Prom Season",$A32="Teacher Appreciation Week",$A32="Mother's Day",$A32="Memorial Day",$A32="Father's Day",$A32="Independence Day",$A32="Back-to-School Season",$A32="Labor Day",$A32="Halloween",$A32="Thanksgiving",$A32="Black Friday / Cyber Monday",$A32="Christmas",$A32="New Year's Eve / New Year Season"),'今日提醒'!$B$2&gt;=($R32-30),'今日提醒'!$B$2&lt;$R32,'今日提醒'!$B$2&lt;$L32),"大节气提前",IF(AND('今日提醒'!$B$2&gt;=$P32,'今日提醒'!$B$2&lt;=$Q32),"二次排查",IF(AND(OR($A32="Chinese New Year",$A32="Super Bowl",$A32="Valentine's Day",$A32="Valentine Week",$A32="St. Patrick's Day",$A32="Easter",$A32="Graduation Season",$A32="Prom Season",$A32="Teacher Appreciation Week",$A32="Mother's Day",$A32="Memorial Day",$A32="Father's Day",$A32="Independence Day",$A32="Back-to-School Season",$A32="Labor Day",$A32="Halloween",$A32="Thanksgiving",$A32="Black Friday / Cyber Monday",$A32="Christmas",$A32="New Year's Eve / New Year Season"),'今日提醒'!$B$2&gt;=($P32-14),'今日提醒'!$B$2&lt;$P32,'今日提醒'!$B$2&lt;$L32),"临近二次",IF(AND('今日提醒'!$B$2&gt;=$N32,'今日提醒'!$B$2&lt;=$O32),"一次排查",IF('今日提醒'!$B$2&lt;$N32,"未到排查",IF('今日提醒'!$B$2&lt;$L32,"等待下一窗口","已过"))))))))))))</x:f>
        <x:v>已过</x:v>
      </x:c>
      <x:c r="K32" s="41" t="str">
        <x:f>IF($J32="收尾下滑","主购买/高频窗口已过，流量可能走弱：不要盲目加预算或新建组；优先看库存压力、ACOS、广告占比、自然单，仅保留高转化词，计算清货/留仓。",IF($J32="节后清尾","节点已过但仍在清尾窗口：控低效词、降无效预算，复盘转化词；库存重则算清货，库存轻则吃完尾流。",IF($J32="节点当日","今天就是节点当日：优先看转化、库存承接、广告花费和尾流风险；可以吃最后一波有效流量，但不要再大范围新建或盲目加预算。",IF($J32="节点进行中","当前在节点/销售窗口内：这是进行中，不是预热；重点看销量、库存承接、广告花费、转化和是否已出现流量下滑。",IF($J32="高频跟进","今天在高频跟进窗口：头部SKU每日看；重点看高库存、高花费、断货风险和ACOS。",IF($J32="临近高频","高频窗口即将开始：今天先预查广告结构、关键词/ASIN、Listing埋词、库存承接和预算，避免临近节点再补。",IF($J32="大节气提前","大节气提前窗口：不要等高频当天再动；今天先锁定主推SKU、库存承接、Listing节日词、广告结构和预算上限，低相关/低库存产品不硬推。",IF($J32="二次排查","今天在二次排查窗口：补广告结构、关键词/ASIN、预算和Listing埋词。",IF($J32="临近二次","大节气二次排查即将开始：提前准备词/ASIN/图片/价格/促销，不等窗口当天才补结构。",IF($J32="一次排查","今天在一次排查窗口：先筛SKU，看历史动销、库存、利润和Listing匹配。",IF($J32="未到排查","暂不处理，等一次排查窗口。",IF($J32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32" s="42" t="n">
        <x:v>46124</x:v>
      </x:c>
      <x:c r="M32" s="42" t="n">
        <x:v>46130</x:v>
      </x:c>
      <x:c r="N32" s="42" t="n">
        <x:v>46049</x:v>
      </x:c>
      <x:c r="O32" s="42" t="n">
        <x:v>46064</x:v>
      </x:c>
      <x:c r="P32" s="42" t="n">
        <x:v>46084</x:v>
      </x:c>
      <x:c r="Q32" s="42" t="n">
        <x:v>46094</x:v>
      </x:c>
      <x:c r="R32" s="42" t="n">
        <x:v>46110</x:v>
      </x:c>
      <x:c r="S32" s="42" t="n">
        <x:v>46130</x:v>
      </x:c>
      <x:c r="T32" s="43" t="n">
        <x:f>$L32-'今日提醒'!$B$2</x:f>
        <x:v>-43</x:v>
      </x:c>
      <x:c r="U32" s="74" t="n">
        <x:f>IF(OR($J32="收尾下滑",$J32="节后清尾",$J32="节点当日",$J32="节点进行中",$J32="高频跟进",$J32="临近高频",$J32="大节气提前",$J32="二次排查",$J32="临近二次",$J32="一次排查"),IF($J32="收尾下滑",1,IF($J32="节后清尾",2,IF($J32="节点当日",3,IF($J32="节点进行中",4,IF($J32="高频跟进",5,IF($J32="临近高频",6,IF($J32="大节气提前",7,IF($J32="二次排查",8,IF($J32="临近二次",9,10)))))))))*100000+ROW(),99999999+ROW())</x:f>
        <x:v>100000031</x:v>
      </x:c>
      <x:c r="V32" s="15" t="str">
        <x:f>IF(OR($J32="收尾下滑",$J32="节后清尾"),"风险/止损",IF($J32="节点当日","机会/当日冲刺",IF($J32="节点进行中","机会/进行中",IF($J32="高频跟进","机会/高频",IF($J32="大节气提前","机会/大节气提前",IF(OR($J32="临近高频",$J32="临近二次",$J32="二次排查",$J32="一次排查"),"机会/预热","非今日"))))))</x:f>
        <x:v>非今日</x:v>
      </x:c>
      <x:c r="W32" s="15" t="str">
        <x:f>IF($J32="收尾下滑","控投/清尾/算留仓",IF($J32="节后清尾","节后降投/复盘",IF($J32="节点当日","当日冲刺/控尾流",IF($J32="节点进行中","转化监控/看趋势",IF($J32="高频跟进","放量+控ACOS",IF($J32="大节气提前","提前锁结构/预算",IF($J32="临近高频","预查结构/埋词",IF($J32="临近二次","提前补结构/埋词",IF($J32="二次排查","补结构/补词",IF($J32="一次排查","筛SKU/核库存","暂无"))))))))))</x:f>
        <x:v>暂无</x:v>
      </x:c>
      <x:c r="X32" s="15" t="str">
        <x:f>IF(AND('今日提醒'!$B$2&gt;=$L32,'今日提醒'!$B$2&lt;=$M32,$L32=$M32),"节点当日：不是预热",IF(AND('今日提醒'!$B$2&gt;=$L32,'今日提醒'!$B$2&lt;=$M32,'今日提醒'!$B$2&gt;$S32),"高频已结束但销售窗口未结束：疑似尾期/下滑",IF(AND('今日提醒'!$B$2&gt;$M32,'今日提醒'!$B$2&lt;=$S32),"节点已过但仍在清尾窗口",IF($J32="大节气提前","大节气高频前30天：提前进入主推准备",IF($J32="临近二次","大节气二次排查前14天：提前准备","")))))</x:f>
      </x:c>
    </x:row>
    <x:row r="33" ht="58" hidden="0" customHeight="1">
      <x:c r="A33" s="41" t="str">
        <x:v>National Public Health Week</x:v>
      </x:c>
      <x:c r="B33" s="41" t="str">
        <x:v>全国公共卫生周</x:v>
      </x:c>
      <x:c r="C33" s="41" t="str">
        <x:v>公共卫生宣传与健康教育节点，适合健康、社区、医护相关内容。</x:v>
      </x:c>
      <x:c r="D33" s="41" t="str">
        <x:v>2026-04-06 ~ 2026-04-12</x:v>
      </x:c>
      <x:c r="E33" s="41" t="str">
        <x:v>每年变动</x:v>
      </x:c>
      <x:c r="F33" s="41" t="str">
        <x:v>public health worker gifts、health awareness cards、团队感谢礼</x:v>
      </x:c>
      <x:c r="G33" s="41" t="str">
        <x:v>2026-01-21 ~ 2026-02-05：按职业词筛SKU，核库存、历史动销和礼品适配。</x:v>
      </x:c>
      <x:c r="H33" s="41" t="str">
        <x:v>2026-02-25 ~ 2026-03-07：建/补广告组，补关键词/ASIN，处理低效流量。</x:v>
      </x:c>
      <x:c r="I33" s="41" t="str">
        <x:v>2026-03-23 ~ 2026-04-12：高库存/高花费SKU每日看，其余2-3天看。</x:v>
      </x:c>
      <x:c r="J33" s="41" t="str">
        <x:f>IF(AND('今日提醒'!$B$2&gt;=$L33,'今日提醒'!$B$2&lt;=$M33,$L33=$M33),"节点当日",IF(AND('今日提醒'!$B$2&gt;=$L33,'今日提醒'!$B$2&lt;=$M33,'今日提醒'!$B$2&gt;$S33),"收尾下滑",IF(AND('今日提醒'!$B$2&gt;=$L33,'今日提醒'!$B$2&lt;=$M33),"节点进行中",IF(AND('今日提醒'!$B$2&gt;$M33,'今日提醒'!$B$2&lt;=$S33),"节后清尾",IF(AND('今日提醒'!$B$2&gt;=$R33,'今日提醒'!$B$2&lt;=$S33),"高频跟进",IF(AND('今日提醒'!$B$2&gt;=($R33-14),'今日提醒'!$B$2&lt;$R33,'今日提醒'!$B$2&lt;$L33),"临近高频",IF(AND(OR($A33="Chinese New Year",$A33="Super Bowl",$A33="Valentine's Day",$A33="Valentine Week",$A33="St. Patrick's Day",$A33="Easter",$A33="Graduation Season",$A33="Prom Season",$A33="Teacher Appreciation Week",$A33="Mother's Day",$A33="Memorial Day",$A33="Father's Day",$A33="Independence Day",$A33="Back-to-School Season",$A33="Labor Day",$A33="Halloween",$A33="Thanksgiving",$A33="Black Friday / Cyber Monday",$A33="Christmas",$A33="New Year's Eve / New Year Season"),'今日提醒'!$B$2&gt;=($R33-30),'今日提醒'!$B$2&lt;$R33,'今日提醒'!$B$2&lt;$L33),"大节气提前",IF(AND('今日提醒'!$B$2&gt;=$P33,'今日提醒'!$B$2&lt;=$Q33),"二次排查",IF(AND(OR($A33="Chinese New Year",$A33="Super Bowl",$A33="Valentine's Day",$A33="Valentine Week",$A33="St. Patrick's Day",$A33="Easter",$A33="Graduation Season",$A33="Prom Season",$A33="Teacher Appreciation Week",$A33="Mother's Day",$A33="Memorial Day",$A33="Father's Day",$A33="Independence Day",$A33="Back-to-School Season",$A33="Labor Day",$A33="Halloween",$A33="Thanksgiving",$A33="Black Friday / Cyber Monday",$A33="Christmas",$A33="New Year's Eve / New Year Season"),'今日提醒'!$B$2&gt;=($P33-14),'今日提醒'!$B$2&lt;$P33,'今日提醒'!$B$2&lt;$L33),"临近二次",IF(AND('今日提醒'!$B$2&gt;=$N33,'今日提醒'!$B$2&lt;=$O33),"一次排查",IF('今日提醒'!$B$2&lt;$N33,"未到排查",IF('今日提醒'!$B$2&lt;$L33,"等待下一窗口","已过"))))))))))))</x:f>
        <x:v>已过</x:v>
      </x:c>
      <x:c r="K33" s="41" t="str">
        <x:f>IF($J33="收尾下滑","主购买/高频窗口已过，流量可能走弱：不要盲目加预算或新建组；优先看库存压力、ACOS、广告占比、自然单，仅保留高转化词，计算清货/留仓。",IF($J33="节后清尾","节点已过但仍在清尾窗口：控低效词、降无效预算，复盘转化词；库存重则算清货，库存轻则吃完尾流。",IF($J33="节点当日","今天就是节点当日：优先看转化、库存承接、广告花费和尾流风险；可以吃最后一波有效流量，但不要再大范围新建或盲目加预算。",IF($J33="节点进行中","当前在节点/销售窗口内：这是进行中，不是预热；重点看销量、库存承接、广告花费、转化和是否已出现流量下滑。",IF($J33="高频跟进","今天在高频跟进窗口：头部SKU每日看；重点看高库存、高花费、断货风险和ACOS。",IF($J33="临近高频","高频窗口即将开始：今天先预查广告结构、关键词/ASIN、Listing埋词、库存承接和预算，避免临近节点再补。",IF($J33="大节气提前","大节气提前窗口：不要等高频当天再动；今天先锁定主推SKU、库存承接、Listing节日词、广告结构和预算上限，低相关/低库存产品不硬推。",IF($J33="二次排查","今天在二次排查窗口：补广告结构、关键词/ASIN、预算和Listing埋词。",IF($J33="临近二次","大节气二次排查即将开始：提前准备词/ASIN/图片/价格/促销，不等窗口当天才补结构。",IF($J33="一次排查","今天在一次排查窗口：先筛SKU，看历史动销、库存、利润和Listing匹配。",IF($J33="未到排查","暂不处理，等一次排查窗口。",IF($J33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33" s="42" t="n">
        <x:v>46118</x:v>
      </x:c>
      <x:c r="M33" s="42" t="n">
        <x:v>46124</x:v>
      </x:c>
      <x:c r="N33" s="42" t="n">
        <x:v>46043</x:v>
      </x:c>
      <x:c r="O33" s="42" t="n">
        <x:v>46058</x:v>
      </x:c>
      <x:c r="P33" s="42" t="n">
        <x:v>46078</x:v>
      </x:c>
      <x:c r="Q33" s="42" t="n">
        <x:v>46088</x:v>
      </x:c>
      <x:c r="R33" s="42" t="n">
        <x:v>46104</x:v>
      </x:c>
      <x:c r="S33" s="42" t="n">
        <x:v>46124</x:v>
      </x:c>
      <x:c r="T33" s="43" t="n">
        <x:f>$L33-'今日提醒'!$B$2</x:f>
        <x:v>-49</x:v>
      </x:c>
      <x:c r="U33" s="74" t="n">
        <x:f>IF(OR($J33="收尾下滑",$J33="节后清尾",$J33="节点当日",$J33="节点进行中",$J33="高频跟进",$J33="临近高频",$J33="大节气提前",$J33="二次排查",$J33="临近二次",$J33="一次排查"),IF($J33="收尾下滑",1,IF($J33="节后清尾",2,IF($J33="节点当日",3,IF($J33="节点进行中",4,IF($J33="高频跟进",5,IF($J33="临近高频",6,IF($J33="大节气提前",7,IF($J33="二次排查",8,IF($J33="临近二次",9,10)))))))))*100000+ROW(),99999999+ROW())</x:f>
        <x:v>100000032</x:v>
      </x:c>
      <x:c r="V33" s="15" t="str">
        <x:f>IF(OR($J33="收尾下滑",$J33="节后清尾"),"风险/止损",IF($J33="节点当日","机会/当日冲刺",IF($J33="节点进行中","机会/进行中",IF($J33="高频跟进","机会/高频",IF($J33="大节气提前","机会/大节气提前",IF(OR($J33="临近高频",$J33="临近二次",$J33="二次排查",$J33="一次排查"),"机会/预热","非今日"))))))</x:f>
        <x:v>非今日</x:v>
      </x:c>
      <x:c r="W33" s="15" t="str">
        <x:f>IF($J33="收尾下滑","控投/清尾/算留仓",IF($J33="节后清尾","节后降投/复盘",IF($J33="节点当日","当日冲刺/控尾流",IF($J33="节点进行中","转化监控/看趋势",IF($J33="高频跟进","放量+控ACOS",IF($J33="大节气提前","提前锁结构/预算",IF($J33="临近高频","预查结构/埋词",IF($J33="临近二次","提前补结构/埋词",IF($J33="二次排查","补结构/补词",IF($J33="一次排查","筛SKU/核库存","暂无"))))))))))</x:f>
        <x:v>暂无</x:v>
      </x:c>
      <x:c r="X33" s="15" t="str">
        <x:f>IF(AND('今日提醒'!$B$2&gt;=$L33,'今日提醒'!$B$2&lt;=$M33,$L33=$M33),"节点当日：不是预热",IF(AND('今日提醒'!$B$2&gt;=$L33,'今日提醒'!$B$2&lt;=$M33,'今日提醒'!$B$2&gt;$S33),"高频已结束但销售窗口未结束：疑似尾期/下滑",IF(AND('今日提醒'!$B$2&gt;$M33,'今日提醒'!$B$2&lt;=$S33),"节点已过但仍在清尾窗口",IF($J33="大节气提前","大节气高频前30天：提前进入主推准备",IF($J33="临近二次","大节气二次排查前14天：提前准备","")))))</x:f>
      </x:c>
    </x:row>
    <x:row r="34" ht="58" hidden="0" customHeight="1">
      <x:c r="A34" s="41" t="str">
        <x:v>National Librarian Day</x:v>
      </x:c>
      <x:c r="B34" s="41" t="str">
        <x:v>全国图书管理员日</x:v>
      </x:c>
      <x:c r="C34" s="41" t="str">
        <x:v>感谢图书馆员和信息服务人员，适合librarian gifts、book lover、library appreciation礼品。</x:v>
      </x:c>
      <x:c r="D34" s="41" t="str">
        <x:v>2026-04-16</x:v>
      </x:c>
      <x:c r="E34" s="41" t="str">
        <x:v>固定日期</x:v>
      </x:c>
      <x:c r="F34" s="41" t="str">
        <x:v>书签、reading cards、librarian gifts、teacher classroom礼品</x:v>
      </x:c>
      <x:c r="G34" s="41" t="str">
        <x:v>2026-02-15 ~ 2026-03-02：先筛匹配SKU、历史销量、库存和利润空间。</x:v>
      </x:c>
      <x:c r="H34" s="41" t="str">
        <x:v>2026-03-17 ~ 2026-03-26：补关键词/ASIN、Listing埋词和广告预算。</x:v>
      </x:c>
      <x:c r="I34" s="41" t="str">
        <x:v>2026-04-02 ~ 2026-04-18：重点SKU每日看，普通SKU每2-3天看。</x:v>
      </x:c>
      <x:c r="J34" s="41" t="str">
        <x:f>IF(AND('今日提醒'!$B$2&gt;=$L34,'今日提醒'!$B$2&lt;=$M34,$L34=$M34),"节点当日",IF(AND('今日提醒'!$B$2&gt;=$L34,'今日提醒'!$B$2&lt;=$M34,'今日提醒'!$B$2&gt;$S34),"收尾下滑",IF(AND('今日提醒'!$B$2&gt;=$L34,'今日提醒'!$B$2&lt;=$M34),"节点进行中",IF(AND('今日提醒'!$B$2&gt;$M34,'今日提醒'!$B$2&lt;=$S34),"节后清尾",IF(AND('今日提醒'!$B$2&gt;=$R34,'今日提醒'!$B$2&lt;=$S34),"高频跟进",IF(AND('今日提醒'!$B$2&gt;=($R34-14),'今日提醒'!$B$2&lt;$R34,'今日提醒'!$B$2&lt;$L34),"临近高频",IF(AND(OR($A34="Chinese New Year",$A34="Super Bowl",$A34="Valentine's Day",$A34="Valentine Week",$A34="St. Patrick's Day",$A34="Easter",$A34="Graduation Season",$A34="Prom Season",$A34="Teacher Appreciation Week",$A34="Mother's Day",$A34="Memorial Day",$A34="Father's Day",$A34="Independence Day",$A34="Back-to-School Season",$A34="Labor Day",$A34="Halloween",$A34="Thanksgiving",$A34="Black Friday / Cyber Monday",$A34="Christmas",$A34="New Year's Eve / New Year Season"),'今日提醒'!$B$2&gt;=($R34-30),'今日提醒'!$B$2&lt;$R34,'今日提醒'!$B$2&lt;$L34),"大节气提前",IF(AND('今日提醒'!$B$2&gt;=$P34,'今日提醒'!$B$2&lt;=$Q34),"二次排查",IF(AND(OR($A34="Chinese New Year",$A34="Super Bowl",$A34="Valentine's Day",$A34="Valentine Week",$A34="St. Patrick's Day",$A34="Easter",$A34="Graduation Season",$A34="Prom Season",$A34="Teacher Appreciation Week",$A34="Mother's Day",$A34="Memorial Day",$A34="Father's Day",$A34="Independence Day",$A34="Back-to-School Season",$A34="Labor Day",$A34="Halloween",$A34="Thanksgiving",$A34="Black Friday / Cyber Monday",$A34="Christmas",$A34="New Year's Eve / New Year Season"),'今日提醒'!$B$2&gt;=($P34-14),'今日提醒'!$B$2&lt;$P34,'今日提醒'!$B$2&lt;$L34),"临近二次",IF(AND('今日提醒'!$B$2&gt;=$N34,'今日提醒'!$B$2&lt;=$O34),"一次排查",IF('今日提醒'!$B$2&lt;$N34,"未到排查",IF('今日提醒'!$B$2&lt;$L34,"等待下一窗口","已过"))))))))))))</x:f>
        <x:v>已过</x:v>
      </x:c>
      <x:c r="K34" s="41" t="str">
        <x:f>IF($J34="收尾下滑","主购买/高频窗口已过，流量可能走弱：不要盲目加预算或新建组；优先看库存压力、ACOS、广告占比、自然单，仅保留高转化词，计算清货/留仓。",IF($J34="节后清尾","节点已过但仍在清尾窗口：控低效词、降无效预算，复盘转化词；库存重则算清货，库存轻则吃完尾流。",IF($J34="节点当日","今天就是节点当日：优先看转化、库存承接、广告花费和尾流风险；可以吃最后一波有效流量，但不要再大范围新建或盲目加预算。",IF($J34="节点进行中","当前在节点/销售窗口内：这是进行中，不是预热；重点看销量、库存承接、广告花费、转化和是否已出现流量下滑。",IF($J34="高频跟进","今天在高频跟进窗口：头部SKU每日看；重点看高库存、高花费、断货风险和ACOS。",IF($J34="临近高频","高频窗口即将开始：今天先预查广告结构、关键词/ASIN、Listing埋词、库存承接和预算，避免临近节点再补。",IF($J34="大节气提前","大节气提前窗口：不要等高频当天再动；今天先锁定主推SKU、库存承接、Listing节日词、广告结构和预算上限，低相关/低库存产品不硬推。",IF($J34="二次排查","今天在二次排查窗口：补广告结构、关键词/ASIN、预算和Listing埋词。",IF($J34="临近二次","大节气二次排查即将开始：提前准备词/ASIN/图片/价格/促销，不等窗口当天才补结构。",IF($J34="一次排查","今天在一次排查窗口：先筛SKU，看历史动销、库存、利润和Listing匹配。",IF($J34="未到排查","暂不处理，等一次排查窗口。",IF($J34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34" s="42" t="n">
        <x:v>46128</x:v>
      </x:c>
      <x:c r="M34" s="42" t="n">
        <x:v>46128</x:v>
      </x:c>
      <x:c r="N34" s="42" t="n">
        <x:v>46068</x:v>
      </x:c>
      <x:c r="O34" s="42" t="n">
        <x:v>46083</x:v>
      </x:c>
      <x:c r="P34" s="42" t="n">
        <x:v>46098</x:v>
      </x:c>
      <x:c r="Q34" s="42" t="n">
        <x:v>46107</x:v>
      </x:c>
      <x:c r="R34" s="42" t="n">
        <x:v>46114</x:v>
      </x:c>
      <x:c r="S34" s="42" t="n">
        <x:v>46130</x:v>
      </x:c>
      <x:c r="T34" s="43" t="n">
        <x:f>$L34-'今日提醒'!$B$2</x:f>
        <x:v>-39</x:v>
      </x:c>
      <x:c r="U34" s="74" t="n">
        <x:f>IF(OR($J34="收尾下滑",$J34="节后清尾",$J34="节点当日",$J34="节点进行中",$J34="高频跟进",$J34="临近高频",$J34="大节气提前",$J34="二次排查",$J34="临近二次",$J34="一次排查"),IF($J34="收尾下滑",1,IF($J34="节后清尾",2,IF($J34="节点当日",3,IF($J34="节点进行中",4,IF($J34="高频跟进",5,IF($J34="临近高频",6,IF($J34="大节气提前",7,IF($J34="二次排查",8,IF($J34="临近二次",9,10)))))))))*100000+ROW(),99999999+ROW())</x:f>
        <x:v>100000033</x:v>
      </x:c>
      <x:c r="V34" s="15" t="str">
        <x:f>IF(OR($J34="收尾下滑",$J34="节后清尾"),"风险/止损",IF($J34="节点当日","机会/当日冲刺",IF($J34="节点进行中","机会/进行中",IF($J34="高频跟进","机会/高频",IF($J34="大节气提前","机会/大节气提前",IF(OR($J34="临近高频",$J34="临近二次",$J34="二次排查",$J34="一次排查"),"机会/预热","非今日"))))))</x:f>
        <x:v>非今日</x:v>
      </x:c>
      <x:c r="W34" s="15" t="str">
        <x:f>IF($J34="收尾下滑","控投/清尾/算留仓",IF($J34="节后清尾","节后降投/复盘",IF($J34="节点当日","当日冲刺/控尾流",IF($J34="节点进行中","转化监控/看趋势",IF($J34="高频跟进","放量+控ACOS",IF($J34="大节气提前","提前锁结构/预算",IF($J34="临近高频","预查结构/埋词",IF($J34="临近二次","提前补结构/埋词",IF($J34="二次排查","补结构/补词",IF($J34="一次排查","筛SKU/核库存","暂无"))))))))))</x:f>
        <x:v>暂无</x:v>
      </x:c>
      <x:c r="X34" s="15" t="str">
        <x:f>IF(AND('今日提醒'!$B$2&gt;=$L34,'今日提醒'!$B$2&lt;=$M34,$L34=$M34),"节点当日：不是预热",IF(AND('今日提醒'!$B$2&gt;=$L34,'今日提醒'!$B$2&lt;=$M34,'今日提醒'!$B$2&gt;$S34),"高频已结束但销售窗口未结束：疑似尾期/下滑",IF(AND('今日提醒'!$B$2&gt;$M34,'今日提醒'!$B$2&lt;=$S34),"节点已过但仍在清尾窗口",IF($J34="大节气提前","大节气高频前30天：提前进入主推准备",IF($J34="临近二次","大节气二次排查前14天：提前准备","")))))</x:f>
      </x:c>
    </x:row>
    <x:row r="35" ht="58" hidden="0" customHeight="1">
      <x:c r="A35" s="41" t="str">
        <x:v>National Library Week</x:v>
      </x:c>
      <x:c r="B35" s="41" t="str">
        <x:v>全国图书馆周</x:v>
      </x:c>
      <x:c r="C35" s="41" t="str">
        <x:v>宣传图书馆价值与阅读服务，适合图书馆、阅读、书签、老师和学生相关产品。</x:v>
      </x:c>
      <x:c r="D35" s="41" t="str">
        <x:v>2026-04-19 ~ 2026-04-25</x:v>
      </x:c>
      <x:c r="E35" s="41" t="str">
        <x:v>每年变动</x:v>
      </x:c>
      <x:c r="F35" s="41" t="str">
        <x:v>书签、reading cards、librarian gifts、teacher classroom礼品</x:v>
      </x:c>
      <x:c r="G35" s="41" t="str">
        <x:v>2026-02-03 ~ 2026-02-18：按职业词筛SKU，核库存、历史动销和礼品适配。</x:v>
      </x:c>
      <x:c r="H35" s="41" t="str">
        <x:v>2026-03-10 ~ 2026-03-20：建/补广告组，补关键词/ASIN，处理低效流量。</x:v>
      </x:c>
      <x:c r="I35" s="41" t="str">
        <x:v>2026-04-05 ~ 2026-04-25：高库存/高花费SKU每日看，其余2-3天看。</x:v>
      </x:c>
      <x:c r="J35" s="41" t="str">
        <x:f>IF(AND('今日提醒'!$B$2&gt;=$L35,'今日提醒'!$B$2&lt;=$M35,$L35=$M35),"节点当日",IF(AND('今日提醒'!$B$2&gt;=$L35,'今日提醒'!$B$2&lt;=$M35,'今日提醒'!$B$2&gt;$S35),"收尾下滑",IF(AND('今日提醒'!$B$2&gt;=$L35,'今日提醒'!$B$2&lt;=$M35),"节点进行中",IF(AND('今日提醒'!$B$2&gt;$M35,'今日提醒'!$B$2&lt;=$S35),"节后清尾",IF(AND('今日提醒'!$B$2&gt;=$R35,'今日提醒'!$B$2&lt;=$S35),"高频跟进",IF(AND('今日提醒'!$B$2&gt;=($R35-14),'今日提醒'!$B$2&lt;$R35,'今日提醒'!$B$2&lt;$L35),"临近高频",IF(AND(OR($A35="Chinese New Year",$A35="Super Bowl",$A35="Valentine's Day",$A35="Valentine Week",$A35="St. Patrick's Day",$A35="Easter",$A35="Graduation Season",$A35="Prom Season",$A35="Teacher Appreciation Week",$A35="Mother's Day",$A35="Memorial Day",$A35="Father's Day",$A35="Independence Day",$A35="Back-to-School Season",$A35="Labor Day",$A35="Halloween",$A35="Thanksgiving",$A35="Black Friday / Cyber Monday",$A35="Christmas",$A35="New Year's Eve / New Year Season"),'今日提醒'!$B$2&gt;=($R35-30),'今日提醒'!$B$2&lt;$R35,'今日提醒'!$B$2&lt;$L35),"大节气提前",IF(AND('今日提醒'!$B$2&gt;=$P35,'今日提醒'!$B$2&lt;=$Q35),"二次排查",IF(AND(OR($A35="Chinese New Year",$A35="Super Bowl",$A35="Valentine's Day",$A35="Valentine Week",$A35="St. Patrick's Day",$A35="Easter",$A35="Graduation Season",$A35="Prom Season",$A35="Teacher Appreciation Week",$A35="Mother's Day",$A35="Memorial Day",$A35="Father's Day",$A35="Independence Day",$A35="Back-to-School Season",$A35="Labor Day",$A35="Halloween",$A35="Thanksgiving",$A35="Black Friday / Cyber Monday",$A35="Christmas",$A35="New Year's Eve / New Year Season"),'今日提醒'!$B$2&gt;=($P35-14),'今日提醒'!$B$2&lt;$P35,'今日提醒'!$B$2&lt;$L35),"临近二次",IF(AND('今日提醒'!$B$2&gt;=$N35,'今日提醒'!$B$2&lt;=$O35),"一次排查",IF('今日提醒'!$B$2&lt;$N35,"未到排查",IF('今日提醒'!$B$2&lt;$L35,"等待下一窗口","已过"))))))))))))</x:f>
        <x:v>已过</x:v>
      </x:c>
      <x:c r="K35" s="41" t="str">
        <x:f>IF($J35="收尾下滑","主购买/高频窗口已过，流量可能走弱：不要盲目加预算或新建组；优先看库存压力、ACOS、广告占比、自然单，仅保留高转化词，计算清货/留仓。",IF($J35="节后清尾","节点已过但仍在清尾窗口：控低效词、降无效预算，复盘转化词；库存重则算清货，库存轻则吃完尾流。",IF($J35="节点当日","今天就是节点当日：优先看转化、库存承接、广告花费和尾流风险；可以吃最后一波有效流量，但不要再大范围新建或盲目加预算。",IF($J35="节点进行中","当前在节点/销售窗口内：这是进行中，不是预热；重点看销量、库存承接、广告花费、转化和是否已出现流量下滑。",IF($J35="高频跟进","今天在高频跟进窗口：头部SKU每日看；重点看高库存、高花费、断货风险和ACOS。",IF($J35="临近高频","高频窗口即将开始：今天先预查广告结构、关键词/ASIN、Listing埋词、库存承接和预算，避免临近节点再补。",IF($J35="大节气提前","大节气提前窗口：不要等高频当天再动；今天先锁定主推SKU、库存承接、Listing节日词、广告结构和预算上限，低相关/低库存产品不硬推。",IF($J35="二次排查","今天在二次排查窗口：补广告结构、关键词/ASIN、预算和Listing埋词。",IF($J35="临近二次","大节气二次排查即将开始：提前准备词/ASIN/图片/价格/促销，不等窗口当天才补结构。",IF($J35="一次排查","今天在一次排查窗口：先筛SKU，看历史动销、库存、利润和Listing匹配。",IF($J35="未到排查","暂不处理，等一次排查窗口。",IF($J35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35" s="42" t="n">
        <x:v>46131</x:v>
      </x:c>
      <x:c r="M35" s="42" t="n">
        <x:v>46137</x:v>
      </x:c>
      <x:c r="N35" s="42" t="n">
        <x:v>46056</x:v>
      </x:c>
      <x:c r="O35" s="42" t="n">
        <x:v>46071</x:v>
      </x:c>
      <x:c r="P35" s="42" t="n">
        <x:v>46091</x:v>
      </x:c>
      <x:c r="Q35" s="42" t="n">
        <x:v>46101</x:v>
      </x:c>
      <x:c r="R35" s="42" t="n">
        <x:v>46117</x:v>
      </x:c>
      <x:c r="S35" s="42" t="n">
        <x:v>46137</x:v>
      </x:c>
      <x:c r="T35" s="43" t="n">
        <x:f>$L35-'今日提醒'!$B$2</x:f>
        <x:v>-36</x:v>
      </x:c>
      <x:c r="U35" s="74" t="n">
        <x:f>IF(OR($J35="收尾下滑",$J35="节后清尾",$J35="节点当日",$J35="节点进行中",$J35="高频跟进",$J35="临近高频",$J35="大节气提前",$J35="二次排查",$J35="临近二次",$J35="一次排查"),IF($J35="收尾下滑",1,IF($J35="节后清尾",2,IF($J35="节点当日",3,IF($J35="节点进行中",4,IF($J35="高频跟进",5,IF($J35="临近高频",6,IF($J35="大节气提前",7,IF($J35="二次排查",8,IF($J35="临近二次",9,10)))))))))*100000+ROW(),99999999+ROW())</x:f>
        <x:v>100000034</x:v>
      </x:c>
      <x:c r="V35" s="15" t="str">
        <x:f>IF(OR($J35="收尾下滑",$J35="节后清尾"),"风险/止损",IF($J35="节点当日","机会/当日冲刺",IF($J35="节点进行中","机会/进行中",IF($J35="高频跟进","机会/高频",IF($J35="大节气提前","机会/大节气提前",IF(OR($J35="临近高频",$J35="临近二次",$J35="二次排查",$J35="一次排查"),"机会/预热","非今日"))))))</x:f>
        <x:v>非今日</x:v>
      </x:c>
      <x:c r="W35" s="15" t="str">
        <x:f>IF($J35="收尾下滑","控投/清尾/算留仓",IF($J35="节后清尾","节后降投/复盘",IF($J35="节点当日","当日冲刺/控尾流",IF($J35="节点进行中","转化监控/看趋势",IF($J35="高频跟进","放量+控ACOS",IF($J35="大节气提前","提前锁结构/预算",IF($J35="临近高频","预查结构/埋词",IF($J35="临近二次","提前补结构/埋词",IF($J35="二次排查","补结构/补词",IF($J35="一次排查","筛SKU/核库存","暂无"))))))))))</x:f>
        <x:v>暂无</x:v>
      </x:c>
      <x:c r="X35" s="15" t="str">
        <x:f>IF(AND('今日提醒'!$B$2&gt;=$L35,'今日提醒'!$B$2&lt;=$M35,$L35=$M35),"节点当日：不是预热",IF(AND('今日提醒'!$B$2&gt;=$L35,'今日提醒'!$B$2&lt;=$M35,'今日提醒'!$B$2&gt;$S35),"高频已结束但销售窗口未结束：疑似尾期/下滑",IF(AND('今日提醒'!$B$2&gt;$M35,'今日提醒'!$B$2&lt;=$S35),"节点已过但仍在清尾窗口",IF($J35="大节气提前","大节气高频前30天：提前进入主推准备",IF($J35="临近二次","大节气二次排查前14天：提前准备","")))))</x:f>
      </x:c>
    </x:row>
    <x:row r="36" ht="58" hidden="0" customHeight="1">
      <x:c r="A36" s="41" t="str">
        <x:v>Earth Day</x:v>
      </x:c>
      <x:c r="B36" s="41" t="str">
        <x:v>世界地球日</x:v>
      </x:c>
      <x:c r="C36" s="41" t="str">
        <x:v>全球环保行动节点，适合环保、自然、植物、可持续、课堂活动和志愿者主题。</x:v>
      </x:c>
      <x:c r="D36" s="41" t="str">
        <x:v>2026-04-22</x:v>
      </x:c>
      <x:c r="E36" s="41" t="str">
        <x:v>固定日期+活动区间</x:v>
      </x:c>
      <x:c r="F36" s="41" t="str">
        <x:v>volunteer appreciation gifts、thank you cards、钥匙扣、pocket hug</x:v>
      </x:c>
      <x:c r="G36" s="41" t="str">
        <x:v>2026-02-21 ~ 2026-03-08：先筛匹配SKU、历史销量、库存和利润空间。</x:v>
      </x:c>
      <x:c r="H36" s="41" t="str">
        <x:v>2026-03-23 ~ 2026-04-01：补关键词/ASIN、Listing埋词和广告预算。</x:v>
      </x:c>
      <x:c r="I36" s="41" t="str">
        <x:v>2026-04-08 ~ 2026-04-24：重点SKU每日看，普通SKU每2-3天看。</x:v>
      </x:c>
      <x:c r="J36" s="41" t="str">
        <x:f>IF(AND('今日提醒'!$B$2&gt;=$L36,'今日提醒'!$B$2&lt;=$M36,$L36=$M36),"节点当日",IF(AND('今日提醒'!$B$2&gt;=$L36,'今日提醒'!$B$2&lt;=$M36,'今日提醒'!$B$2&gt;$S36),"收尾下滑",IF(AND('今日提醒'!$B$2&gt;=$L36,'今日提醒'!$B$2&lt;=$M36),"节点进行中",IF(AND('今日提醒'!$B$2&gt;$M36,'今日提醒'!$B$2&lt;=$S36),"节后清尾",IF(AND('今日提醒'!$B$2&gt;=$R36,'今日提醒'!$B$2&lt;=$S36),"高频跟进",IF(AND('今日提醒'!$B$2&gt;=($R36-14),'今日提醒'!$B$2&lt;$R36,'今日提醒'!$B$2&lt;$L36),"临近高频",IF(AND(OR($A36="Chinese New Year",$A36="Super Bowl",$A36="Valentine's Day",$A36="Valentine Week",$A36="St. Patrick's Day",$A36="Easter",$A36="Graduation Season",$A36="Prom Season",$A36="Teacher Appreciation Week",$A36="Mother's Day",$A36="Memorial Day",$A36="Father's Day",$A36="Independence Day",$A36="Back-to-School Season",$A36="Labor Day",$A36="Halloween",$A36="Thanksgiving",$A36="Black Friday / Cyber Monday",$A36="Christmas",$A36="New Year's Eve / New Year Season"),'今日提醒'!$B$2&gt;=($R36-30),'今日提醒'!$B$2&lt;$R36,'今日提醒'!$B$2&lt;$L36),"大节气提前",IF(AND('今日提醒'!$B$2&gt;=$P36,'今日提醒'!$B$2&lt;=$Q36),"二次排查",IF(AND(OR($A36="Chinese New Year",$A36="Super Bowl",$A36="Valentine's Day",$A36="Valentine Week",$A36="St. Patrick's Day",$A36="Easter",$A36="Graduation Season",$A36="Prom Season",$A36="Teacher Appreciation Week",$A36="Mother's Day",$A36="Memorial Day",$A36="Father's Day",$A36="Independence Day",$A36="Back-to-School Season",$A36="Labor Day",$A36="Halloween",$A36="Thanksgiving",$A36="Black Friday / Cyber Monday",$A36="Christmas",$A36="New Year's Eve / New Year Season"),'今日提醒'!$B$2&gt;=($P36-14),'今日提醒'!$B$2&lt;$P36,'今日提醒'!$B$2&lt;$L36),"临近二次",IF(AND('今日提醒'!$B$2&gt;=$N36,'今日提醒'!$B$2&lt;=$O36),"一次排查",IF('今日提醒'!$B$2&lt;$N36,"未到排查",IF('今日提醒'!$B$2&lt;$L36,"等待下一窗口","已过"))))))))))))</x:f>
        <x:v>已过</x:v>
      </x:c>
      <x:c r="K36" s="41" t="str">
        <x:f>IF($J36="收尾下滑","主购买/高频窗口已过，流量可能走弱：不要盲目加预算或新建组；优先看库存压力、ACOS、广告占比、自然单，仅保留高转化词，计算清货/留仓。",IF($J36="节后清尾","节点已过但仍在清尾窗口：控低效词、降无效预算，复盘转化词；库存重则算清货，库存轻则吃完尾流。",IF($J36="节点当日","今天就是节点当日：优先看转化、库存承接、广告花费和尾流风险；可以吃最后一波有效流量，但不要再大范围新建或盲目加预算。",IF($J36="节点进行中","当前在节点/销售窗口内：这是进行中，不是预热；重点看销量、库存承接、广告花费、转化和是否已出现流量下滑。",IF($J36="高频跟进","今天在高频跟进窗口：头部SKU每日看；重点看高库存、高花费、断货风险和ACOS。",IF($J36="临近高频","高频窗口即将开始：今天先预查广告结构、关键词/ASIN、Listing埋词、库存承接和预算，避免临近节点再补。",IF($J36="大节气提前","大节气提前窗口：不要等高频当天再动；今天先锁定主推SKU、库存承接、Listing节日词、广告结构和预算上限，低相关/低库存产品不硬推。",IF($J36="二次排查","今天在二次排查窗口：补广告结构、关键词/ASIN、预算和Listing埋词。",IF($J36="临近二次","大节气二次排查即将开始：提前准备词/ASIN/图片/价格/促销，不等窗口当天才补结构。",IF($J36="一次排查","今天在一次排查窗口：先筛SKU，看历史动销、库存、利润和Listing匹配。",IF($J36="未到排查","暂不处理，等一次排查窗口。",IF($J36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36" s="42" t="n">
        <x:v>46134</x:v>
      </x:c>
      <x:c r="M36" s="42" t="n">
        <x:v>46134</x:v>
      </x:c>
      <x:c r="N36" s="42" t="n">
        <x:v>46074</x:v>
      </x:c>
      <x:c r="O36" s="42" t="n">
        <x:v>46089</x:v>
      </x:c>
      <x:c r="P36" s="42" t="n">
        <x:v>46104</x:v>
      </x:c>
      <x:c r="Q36" s="42" t="n">
        <x:v>46113</x:v>
      </x:c>
      <x:c r="R36" s="42" t="n">
        <x:v>46120</x:v>
      </x:c>
      <x:c r="S36" s="42" t="n">
        <x:v>46136</x:v>
      </x:c>
      <x:c r="T36" s="43" t="n">
        <x:f>$L36-'今日提醒'!$B$2</x:f>
        <x:v>-33</x:v>
      </x:c>
      <x:c r="U36" s="74" t="n">
        <x:f>IF(OR($J36="收尾下滑",$J36="节后清尾",$J36="节点当日",$J36="节点进行中",$J36="高频跟进",$J36="临近高频",$J36="大节气提前",$J36="二次排查",$J36="临近二次",$J36="一次排查"),IF($J36="收尾下滑",1,IF($J36="节后清尾",2,IF($J36="节点当日",3,IF($J36="节点进行中",4,IF($J36="高频跟进",5,IF($J36="临近高频",6,IF($J36="大节气提前",7,IF($J36="二次排查",8,IF($J36="临近二次",9,10)))))))))*100000+ROW(),99999999+ROW())</x:f>
        <x:v>100000035</x:v>
      </x:c>
      <x:c r="V36" s="15" t="str">
        <x:f>IF(OR($J36="收尾下滑",$J36="节后清尾"),"风险/止损",IF($J36="节点当日","机会/当日冲刺",IF($J36="节点进行中","机会/进行中",IF($J36="高频跟进","机会/高频",IF($J36="大节气提前","机会/大节气提前",IF(OR($J36="临近高频",$J36="临近二次",$J36="二次排查",$J36="一次排查"),"机会/预热","非今日"))))))</x:f>
        <x:v>非今日</x:v>
      </x:c>
      <x:c r="W36" s="15" t="str">
        <x:f>IF($J36="收尾下滑","控投/清尾/算留仓",IF($J36="节后清尾","节后降投/复盘",IF($J36="节点当日","当日冲刺/控尾流",IF($J36="节点进行中","转化监控/看趋势",IF($J36="高频跟进","放量+控ACOS",IF($J36="大节气提前","提前锁结构/预算",IF($J36="临近高频","预查结构/埋词",IF($J36="临近二次","提前补结构/埋词",IF($J36="二次排查","补结构/补词",IF($J36="一次排查","筛SKU/核库存","暂无"))))))))))</x:f>
        <x:v>暂无</x:v>
      </x:c>
      <x:c r="X36" s="15" t="str">
        <x:f>IF(AND('今日提醒'!$B$2&gt;=$L36,'今日提醒'!$B$2&lt;=$M36,$L36=$M36),"节点当日：不是预热",IF(AND('今日提醒'!$B$2&gt;=$L36,'今日提醒'!$B$2&lt;=$M36,'今日提醒'!$B$2&gt;$S36),"高频已结束但销售窗口未结束：疑似尾期/下滑",IF(AND('今日提醒'!$B$2&gt;$M36,'今日提醒'!$B$2&lt;=$S36),"节点已过但仍在清尾窗口",IF($J36="大节气提前","大节气高频前30天：提前进入主推准备",IF($J36="临近二次","大节气二次排查前14天：提前准备","")))))</x:f>
      </x:c>
    </x:row>
    <x:row r="37" ht="58" hidden="0" customHeight="1">
      <x:c r="A37" s="41" t="str">
        <x:v>National Volunteer Week</x:v>
      </x:c>
      <x:c r="B37" s="41" t="str">
        <x:v>全国志愿者周</x:v>
      </x:c>
      <x:c r="C37" s="41" t="str">
        <x:v>表彰志愿者与公益参与者，适合志愿者感谢礼和组织活动用品。</x:v>
      </x:c>
      <x:c r="D37" s="41" t="str">
        <x:v>2026-04-19 ~ 2026-04-25</x:v>
      </x:c>
      <x:c r="E37" s="41" t="str">
        <x:v>每年变动</x:v>
      </x:c>
      <x:c r="F37" s="41" t="str">
        <x:v>volunteer appreciation gifts、thank you cards、钥匙扣、pocket hug</x:v>
      </x:c>
      <x:c r="G37" s="41" t="str">
        <x:v>2026-02-03 ~ 2026-02-18：按职业词筛SKU，核库存、历史动销和礼品适配。</x:v>
      </x:c>
      <x:c r="H37" s="41" t="str">
        <x:v>2026-03-10 ~ 2026-03-20：建/补广告组，补关键词/ASIN，处理低效流量。</x:v>
      </x:c>
      <x:c r="I37" s="41" t="str">
        <x:v>2026-04-05 ~ 2026-04-25：高库存/高花费SKU每日看，其余2-3天看。</x:v>
      </x:c>
      <x:c r="J37" s="41" t="str">
        <x:f>IF(AND('今日提醒'!$B$2&gt;=$L37,'今日提醒'!$B$2&lt;=$M37,$L37=$M37),"节点当日",IF(AND('今日提醒'!$B$2&gt;=$L37,'今日提醒'!$B$2&lt;=$M37,'今日提醒'!$B$2&gt;$S37),"收尾下滑",IF(AND('今日提醒'!$B$2&gt;=$L37,'今日提醒'!$B$2&lt;=$M37),"节点进行中",IF(AND('今日提醒'!$B$2&gt;$M37,'今日提醒'!$B$2&lt;=$S37),"节后清尾",IF(AND('今日提醒'!$B$2&gt;=$R37,'今日提醒'!$B$2&lt;=$S37),"高频跟进",IF(AND('今日提醒'!$B$2&gt;=($R37-14),'今日提醒'!$B$2&lt;$R37,'今日提醒'!$B$2&lt;$L37),"临近高频",IF(AND(OR($A37="Chinese New Year",$A37="Super Bowl",$A37="Valentine's Day",$A37="Valentine Week",$A37="St. Patrick's Day",$A37="Easter",$A37="Graduation Season",$A37="Prom Season",$A37="Teacher Appreciation Week",$A37="Mother's Day",$A37="Memorial Day",$A37="Father's Day",$A37="Independence Day",$A37="Back-to-School Season",$A37="Labor Day",$A37="Halloween",$A37="Thanksgiving",$A37="Black Friday / Cyber Monday",$A37="Christmas",$A37="New Year's Eve / New Year Season"),'今日提醒'!$B$2&gt;=($R37-30),'今日提醒'!$B$2&lt;$R37,'今日提醒'!$B$2&lt;$L37),"大节气提前",IF(AND('今日提醒'!$B$2&gt;=$P37,'今日提醒'!$B$2&lt;=$Q37),"二次排查",IF(AND(OR($A37="Chinese New Year",$A37="Super Bowl",$A37="Valentine's Day",$A37="Valentine Week",$A37="St. Patrick's Day",$A37="Easter",$A37="Graduation Season",$A37="Prom Season",$A37="Teacher Appreciation Week",$A37="Mother's Day",$A37="Memorial Day",$A37="Father's Day",$A37="Independence Day",$A37="Back-to-School Season",$A37="Labor Day",$A37="Halloween",$A37="Thanksgiving",$A37="Black Friday / Cyber Monday",$A37="Christmas",$A37="New Year's Eve / New Year Season"),'今日提醒'!$B$2&gt;=($P37-14),'今日提醒'!$B$2&lt;$P37,'今日提醒'!$B$2&lt;$L37),"临近二次",IF(AND('今日提醒'!$B$2&gt;=$N37,'今日提醒'!$B$2&lt;=$O37),"一次排查",IF('今日提醒'!$B$2&lt;$N37,"未到排查",IF('今日提醒'!$B$2&lt;$L37,"等待下一窗口","已过"))))))))))))</x:f>
        <x:v>已过</x:v>
      </x:c>
      <x:c r="K37" s="41" t="str">
        <x:f>IF($J37="收尾下滑","主购买/高频窗口已过，流量可能走弱：不要盲目加预算或新建组；优先看库存压力、ACOS、广告占比、自然单，仅保留高转化词，计算清货/留仓。",IF($J37="节后清尾","节点已过但仍在清尾窗口：控低效词、降无效预算，复盘转化词；库存重则算清货，库存轻则吃完尾流。",IF($J37="节点当日","今天就是节点当日：优先看转化、库存承接、广告花费和尾流风险；可以吃最后一波有效流量，但不要再大范围新建或盲目加预算。",IF($J37="节点进行中","当前在节点/销售窗口内：这是进行中，不是预热；重点看销量、库存承接、广告花费、转化和是否已出现流量下滑。",IF($J37="高频跟进","今天在高频跟进窗口：头部SKU每日看；重点看高库存、高花费、断货风险和ACOS。",IF($J37="临近高频","高频窗口即将开始：今天先预查广告结构、关键词/ASIN、Listing埋词、库存承接和预算，避免临近节点再补。",IF($J37="大节气提前","大节气提前窗口：不要等高频当天再动；今天先锁定主推SKU、库存承接、Listing节日词、广告结构和预算上限，低相关/低库存产品不硬推。",IF($J37="二次排查","今天在二次排查窗口：补广告结构、关键词/ASIN、预算和Listing埋词。",IF($J37="临近二次","大节气二次排查即将开始：提前准备词/ASIN/图片/价格/促销，不等窗口当天才补结构。",IF($J37="一次排查","今天在一次排查窗口：先筛SKU，看历史动销、库存、利润和Listing匹配。",IF($J37="未到排查","暂不处理，等一次排查窗口。",IF($J37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37" s="42" t="n">
        <x:v>46131</x:v>
      </x:c>
      <x:c r="M37" s="42" t="n">
        <x:v>46137</x:v>
      </x:c>
      <x:c r="N37" s="42" t="n">
        <x:v>46056</x:v>
      </x:c>
      <x:c r="O37" s="42" t="n">
        <x:v>46071</x:v>
      </x:c>
      <x:c r="P37" s="42" t="n">
        <x:v>46091</x:v>
      </x:c>
      <x:c r="Q37" s="42" t="n">
        <x:v>46101</x:v>
      </x:c>
      <x:c r="R37" s="42" t="n">
        <x:v>46117</x:v>
      </x:c>
      <x:c r="S37" s="42" t="n">
        <x:v>46137</x:v>
      </x:c>
      <x:c r="T37" s="43" t="n">
        <x:f>$L37-'今日提醒'!$B$2</x:f>
        <x:v>-36</x:v>
      </x:c>
      <x:c r="U37" s="74" t="n">
        <x:f>IF(OR($J37="收尾下滑",$J37="节后清尾",$J37="节点当日",$J37="节点进行中",$J37="高频跟进",$J37="临近高频",$J37="大节气提前",$J37="二次排查",$J37="临近二次",$J37="一次排查"),IF($J37="收尾下滑",1,IF($J37="节后清尾",2,IF($J37="节点当日",3,IF($J37="节点进行中",4,IF($J37="高频跟进",5,IF($J37="临近高频",6,IF($J37="大节气提前",7,IF($J37="二次排查",8,IF($J37="临近二次",9,10)))))))))*100000+ROW(),99999999+ROW())</x:f>
        <x:v>100000036</x:v>
      </x:c>
      <x:c r="V37" s="15" t="str">
        <x:f>IF(OR($J37="收尾下滑",$J37="节后清尾"),"风险/止损",IF($J37="节点当日","机会/当日冲刺",IF($J37="节点进行中","机会/进行中",IF($J37="高频跟进","机会/高频",IF($J37="大节气提前","机会/大节气提前",IF(OR($J37="临近高频",$J37="临近二次",$J37="二次排查",$J37="一次排查"),"机会/预热","非今日"))))))</x:f>
        <x:v>非今日</x:v>
      </x:c>
      <x:c r="W37" s="15" t="str">
        <x:f>IF($J37="收尾下滑","控投/清尾/算留仓",IF($J37="节后清尾","节后降投/复盘",IF($J37="节点当日","当日冲刺/控尾流",IF($J37="节点进行中","转化监控/看趋势",IF($J37="高频跟进","放量+控ACOS",IF($J37="大节气提前","提前锁结构/预算",IF($J37="临近高频","预查结构/埋词",IF($J37="临近二次","提前补结构/埋词",IF($J37="二次排查","补结构/补词",IF($J37="一次排查","筛SKU/核库存","暂无"))))))))))</x:f>
        <x:v>暂无</x:v>
      </x:c>
      <x:c r="X37" s="15" t="str">
        <x:f>IF(AND('今日提醒'!$B$2&gt;=$L37,'今日提醒'!$B$2&lt;=$M37,$L37=$M37),"节点当日：不是预热",IF(AND('今日提醒'!$B$2&gt;=$L37,'今日提醒'!$B$2&lt;=$M37,'今日提醒'!$B$2&gt;$S37),"高频已结束但销售窗口未结束：疑似尾期/下滑",IF(AND('今日提醒'!$B$2&gt;$M37,'今日提醒'!$B$2&lt;=$S37),"节点已过但仍在清尾窗口",IF($J37="大节气提前","大节气高频前30天：提前进入主推准备",IF($J37="临近二次","大节气二次排查前14天：提前准备","")))))</x:f>
      </x:c>
    </x:row>
    <x:row r="38" ht="58" hidden="0" customHeight="1">
      <x:c r="A38" s="41" t="str">
        <x:v>Administrative Professionals Week</x:v>
      </x:c>
      <x:c r="B38" s="41" t="str">
        <x:v>行政专业人员周</x:v>
      </x:c>
      <x:c r="C38" s="41" t="str">
        <x:v>表彰行政、秘书、前台、办公室支持岗位，适合职场感谢礼。</x:v>
      </x:c>
      <x:c r="D38" s="41" t="str">
        <x:v>2026-04-19 ~ 2026-04-25</x:v>
      </x:c>
      <x:c r="E38" s="41" t="str">
        <x:v>每年变动：行政专业人员日所在周</x:v>
      </x:c>
      <x:c r="F38" s="41" t="str">
        <x:v>office appreciation gifts、admin/HR/employee bulk gifts、感谢卡/杯子</x:v>
      </x:c>
      <x:c r="G38" s="41" t="str">
        <x:v>2026-02-03 ~ 2026-02-18：按职业词筛SKU，核库存、历史动销和礼品适配。</x:v>
      </x:c>
      <x:c r="H38" s="41" t="str">
        <x:v>2026-03-10 ~ 2026-03-20：建/补广告组，补关键词/ASIN，处理低效流量。</x:v>
      </x:c>
      <x:c r="I38" s="41" t="str">
        <x:v>2026-04-05 ~ 2026-04-25：高库存/高花费SKU每日看，其余2-3天看。</x:v>
      </x:c>
      <x:c r="J38" s="41" t="str">
        <x:f>IF(AND('今日提醒'!$B$2&gt;=$L38,'今日提醒'!$B$2&lt;=$M38,$L38=$M38),"节点当日",IF(AND('今日提醒'!$B$2&gt;=$L38,'今日提醒'!$B$2&lt;=$M38,'今日提醒'!$B$2&gt;$S38),"收尾下滑",IF(AND('今日提醒'!$B$2&gt;=$L38,'今日提醒'!$B$2&lt;=$M38),"节点进行中",IF(AND('今日提醒'!$B$2&gt;$M38,'今日提醒'!$B$2&lt;=$S38),"节后清尾",IF(AND('今日提醒'!$B$2&gt;=$R38,'今日提醒'!$B$2&lt;=$S38),"高频跟进",IF(AND('今日提醒'!$B$2&gt;=($R38-14),'今日提醒'!$B$2&lt;$R38,'今日提醒'!$B$2&lt;$L38),"临近高频",IF(AND(OR($A38="Chinese New Year",$A38="Super Bowl",$A38="Valentine's Day",$A38="Valentine Week",$A38="St. Patrick's Day",$A38="Easter",$A38="Graduation Season",$A38="Prom Season",$A38="Teacher Appreciation Week",$A38="Mother's Day",$A38="Memorial Day",$A38="Father's Day",$A38="Independence Day",$A38="Back-to-School Season",$A38="Labor Day",$A38="Halloween",$A38="Thanksgiving",$A38="Black Friday / Cyber Monday",$A38="Christmas",$A38="New Year's Eve / New Year Season"),'今日提醒'!$B$2&gt;=($R38-30),'今日提醒'!$B$2&lt;$R38,'今日提醒'!$B$2&lt;$L38),"大节气提前",IF(AND('今日提醒'!$B$2&gt;=$P38,'今日提醒'!$B$2&lt;=$Q38),"二次排查",IF(AND(OR($A38="Chinese New Year",$A38="Super Bowl",$A38="Valentine's Day",$A38="Valentine Week",$A38="St. Patrick's Day",$A38="Easter",$A38="Graduation Season",$A38="Prom Season",$A38="Teacher Appreciation Week",$A38="Mother's Day",$A38="Memorial Day",$A38="Father's Day",$A38="Independence Day",$A38="Back-to-School Season",$A38="Labor Day",$A38="Halloween",$A38="Thanksgiving",$A38="Black Friday / Cyber Monday",$A38="Christmas",$A38="New Year's Eve / New Year Season"),'今日提醒'!$B$2&gt;=($P38-14),'今日提醒'!$B$2&lt;$P38,'今日提醒'!$B$2&lt;$L38),"临近二次",IF(AND('今日提醒'!$B$2&gt;=$N38,'今日提醒'!$B$2&lt;=$O38),"一次排查",IF('今日提醒'!$B$2&lt;$N38,"未到排查",IF('今日提醒'!$B$2&lt;$L38,"等待下一窗口","已过"))))))))))))</x:f>
        <x:v>已过</x:v>
      </x:c>
      <x:c r="K38" s="41" t="str">
        <x:f>IF($J38="收尾下滑","主购买/高频窗口已过，流量可能走弱：不要盲目加预算或新建组；优先看库存压力、ACOS、广告占比、自然单，仅保留高转化词，计算清货/留仓。",IF($J38="节后清尾","节点已过但仍在清尾窗口：控低效词、降无效预算，复盘转化词；库存重则算清货，库存轻则吃完尾流。",IF($J38="节点当日","今天就是节点当日：优先看转化、库存承接、广告花费和尾流风险；可以吃最后一波有效流量，但不要再大范围新建或盲目加预算。",IF($J38="节点进行中","当前在节点/销售窗口内：这是进行中，不是预热；重点看销量、库存承接、广告花费、转化和是否已出现流量下滑。",IF($J38="高频跟进","今天在高频跟进窗口：头部SKU每日看；重点看高库存、高花费、断货风险和ACOS。",IF($J38="临近高频","高频窗口即将开始：今天先预查广告结构、关键词/ASIN、Listing埋词、库存承接和预算，避免临近节点再补。",IF($J38="大节气提前","大节气提前窗口：不要等高频当天再动；今天先锁定主推SKU、库存承接、Listing节日词、广告结构和预算上限，低相关/低库存产品不硬推。",IF($J38="二次排查","今天在二次排查窗口：补广告结构、关键词/ASIN、预算和Listing埋词。",IF($J38="临近二次","大节气二次排查即将开始：提前准备词/ASIN/图片/价格/促销，不等窗口当天才补结构。",IF($J38="一次排查","今天在一次排查窗口：先筛SKU，看历史动销、库存、利润和Listing匹配。",IF($J38="未到排查","暂不处理，等一次排查窗口。",IF($J38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38" s="42" t="n">
        <x:v>46131</x:v>
      </x:c>
      <x:c r="M38" s="42" t="n">
        <x:v>46137</x:v>
      </x:c>
      <x:c r="N38" s="42" t="n">
        <x:v>46056</x:v>
      </x:c>
      <x:c r="O38" s="42" t="n">
        <x:v>46071</x:v>
      </x:c>
      <x:c r="P38" s="42" t="n">
        <x:v>46091</x:v>
      </x:c>
      <x:c r="Q38" s="42" t="n">
        <x:v>46101</x:v>
      </x:c>
      <x:c r="R38" s="42" t="n">
        <x:v>46117</x:v>
      </x:c>
      <x:c r="S38" s="42" t="n">
        <x:v>46137</x:v>
      </x:c>
      <x:c r="T38" s="43" t="n">
        <x:f>$L38-'今日提醒'!$B$2</x:f>
        <x:v>-36</x:v>
      </x:c>
      <x:c r="U38" s="74" t="n">
        <x:f>IF(OR($J38="收尾下滑",$J38="节后清尾",$J38="节点当日",$J38="节点进行中",$J38="高频跟进",$J38="临近高频",$J38="大节气提前",$J38="二次排查",$J38="临近二次",$J38="一次排查"),IF($J38="收尾下滑",1,IF($J38="节后清尾",2,IF($J38="节点当日",3,IF($J38="节点进行中",4,IF($J38="高频跟进",5,IF($J38="临近高频",6,IF($J38="大节气提前",7,IF($J38="二次排查",8,IF($J38="临近二次",9,10)))))))))*100000+ROW(),99999999+ROW())</x:f>
        <x:v>100000037</x:v>
      </x:c>
      <x:c r="V38" s="15" t="str">
        <x:f>IF(OR($J38="收尾下滑",$J38="节后清尾"),"风险/止损",IF($J38="节点当日","机会/当日冲刺",IF($J38="节点进行中","机会/进行中",IF($J38="高频跟进","机会/高频",IF($J38="大节气提前","机会/大节气提前",IF(OR($J38="临近高频",$J38="临近二次",$J38="二次排查",$J38="一次排查"),"机会/预热","非今日"))))))</x:f>
        <x:v>非今日</x:v>
      </x:c>
      <x:c r="W38" s="15" t="str">
        <x:f>IF($J38="收尾下滑","控投/清尾/算留仓",IF($J38="节后清尾","节后降投/复盘",IF($J38="节点当日","当日冲刺/控尾流",IF($J38="节点进行中","转化监控/看趋势",IF($J38="高频跟进","放量+控ACOS",IF($J38="大节气提前","提前锁结构/预算",IF($J38="临近高频","预查结构/埋词",IF($J38="临近二次","提前补结构/埋词",IF($J38="二次排查","补结构/补词",IF($J38="一次排查","筛SKU/核库存","暂无"))))))))))</x:f>
        <x:v>暂无</x:v>
      </x:c>
      <x:c r="X38" s="15" t="str">
        <x:f>IF(AND('今日提醒'!$B$2&gt;=$L38,'今日提醒'!$B$2&lt;=$M38,$L38=$M38),"节点当日：不是预热",IF(AND('今日提醒'!$B$2&gt;=$L38,'今日提醒'!$B$2&lt;=$M38,'今日提醒'!$B$2&gt;$S38),"高频已结束但销售窗口未结束：疑似尾期/下滑",IF(AND('今日提醒'!$B$2&gt;$M38,'今日提醒'!$B$2&lt;=$S38),"节点已过但仍在清尾窗口",IF($J38="大节气提前","大节气高频前30天：提前进入主推准备",IF($J38="临近二次","大节气二次排查前14天：提前准备","")))))</x:f>
      </x:c>
    </x:row>
    <x:row r="39" ht="58" hidden="0" customHeight="1">
      <x:c r="A39" s="41" t="str">
        <x:v>Administrative Professionals Day / Secretary Day</x:v>
      </x:c>
      <x:c r="B39" s="41" t="str">
        <x:v>行政专业人员日/秘书节</x:v>
      </x:c>
      <x:c r="C39" s="41" t="str">
        <x:v>集中感谢秘书、行政助理、前台和办公室管理人员。</x:v>
      </x:c>
      <x:c r="D39" s="41" t="str">
        <x:v>2026-04-22</x:v>
      </x:c>
      <x:c r="E39" s="41" t="str">
        <x:v>每年变动</x:v>
      </x:c>
      <x:c r="F39" s="41" t="str">
        <x:v>office appreciation gifts、admin/HR/employee bulk gifts、感谢卡/杯子</x:v>
      </x:c>
      <x:c r="G39" s="41" t="str">
        <x:v>2026-02-21 ~ 2026-03-08：先筛匹配SKU、历史销量、库存和利润空间。</x:v>
      </x:c>
      <x:c r="H39" s="41" t="str">
        <x:v>2026-03-23 ~ 2026-04-01：补关键词/ASIN、Listing埋词和广告预算。</x:v>
      </x:c>
      <x:c r="I39" s="41" t="str">
        <x:v>2026-04-08 ~ 2026-04-24：重点SKU每日看，普通SKU每2-3天看。</x:v>
      </x:c>
      <x:c r="J39" s="41" t="str">
        <x:f>IF(AND('今日提醒'!$B$2&gt;=$L39,'今日提醒'!$B$2&lt;=$M39,$L39=$M39),"节点当日",IF(AND('今日提醒'!$B$2&gt;=$L39,'今日提醒'!$B$2&lt;=$M39,'今日提醒'!$B$2&gt;$S39),"收尾下滑",IF(AND('今日提醒'!$B$2&gt;=$L39,'今日提醒'!$B$2&lt;=$M39),"节点进行中",IF(AND('今日提醒'!$B$2&gt;$M39,'今日提醒'!$B$2&lt;=$S39),"节后清尾",IF(AND('今日提醒'!$B$2&gt;=$R39,'今日提醒'!$B$2&lt;=$S39),"高频跟进",IF(AND('今日提醒'!$B$2&gt;=($R39-14),'今日提醒'!$B$2&lt;$R39,'今日提醒'!$B$2&lt;$L39),"临近高频",IF(AND(OR($A39="Chinese New Year",$A39="Super Bowl",$A39="Valentine's Day",$A39="Valentine Week",$A39="St. Patrick's Day",$A39="Easter",$A39="Graduation Season",$A39="Prom Season",$A39="Teacher Appreciation Week",$A39="Mother's Day",$A39="Memorial Day",$A39="Father's Day",$A39="Independence Day",$A39="Back-to-School Season",$A39="Labor Day",$A39="Halloween",$A39="Thanksgiving",$A39="Black Friday / Cyber Monday",$A39="Christmas",$A39="New Year's Eve / New Year Season"),'今日提醒'!$B$2&gt;=($R39-30),'今日提醒'!$B$2&lt;$R39,'今日提醒'!$B$2&lt;$L39),"大节气提前",IF(AND('今日提醒'!$B$2&gt;=$P39,'今日提醒'!$B$2&lt;=$Q39),"二次排查",IF(AND(OR($A39="Chinese New Year",$A39="Super Bowl",$A39="Valentine's Day",$A39="Valentine Week",$A39="St. Patrick's Day",$A39="Easter",$A39="Graduation Season",$A39="Prom Season",$A39="Teacher Appreciation Week",$A39="Mother's Day",$A39="Memorial Day",$A39="Father's Day",$A39="Independence Day",$A39="Back-to-School Season",$A39="Labor Day",$A39="Halloween",$A39="Thanksgiving",$A39="Black Friday / Cyber Monday",$A39="Christmas",$A39="New Year's Eve / New Year Season"),'今日提醒'!$B$2&gt;=($P39-14),'今日提醒'!$B$2&lt;$P39,'今日提醒'!$B$2&lt;$L39),"临近二次",IF(AND('今日提醒'!$B$2&gt;=$N39,'今日提醒'!$B$2&lt;=$O39),"一次排查",IF('今日提醒'!$B$2&lt;$N39,"未到排查",IF('今日提醒'!$B$2&lt;$L39,"等待下一窗口","已过"))))))))))))</x:f>
        <x:v>已过</x:v>
      </x:c>
      <x:c r="K39" s="41" t="str">
        <x:f>IF($J39="收尾下滑","主购买/高频窗口已过，流量可能走弱：不要盲目加预算或新建组；优先看库存压力、ACOS、广告占比、自然单，仅保留高转化词，计算清货/留仓。",IF($J39="节后清尾","节点已过但仍在清尾窗口：控低效词、降无效预算，复盘转化词；库存重则算清货，库存轻则吃完尾流。",IF($J39="节点当日","今天就是节点当日：优先看转化、库存承接、广告花费和尾流风险；可以吃最后一波有效流量，但不要再大范围新建或盲目加预算。",IF($J39="节点进行中","当前在节点/销售窗口内：这是进行中，不是预热；重点看销量、库存承接、广告花费、转化和是否已出现流量下滑。",IF($J39="高频跟进","今天在高频跟进窗口：头部SKU每日看；重点看高库存、高花费、断货风险和ACOS。",IF($J39="临近高频","高频窗口即将开始：今天先预查广告结构、关键词/ASIN、Listing埋词、库存承接和预算，避免临近节点再补。",IF($J39="大节气提前","大节气提前窗口：不要等高频当天再动；今天先锁定主推SKU、库存承接、Listing节日词、广告结构和预算上限，低相关/低库存产品不硬推。",IF($J39="二次排查","今天在二次排查窗口：补广告结构、关键词/ASIN、预算和Listing埋词。",IF($J39="临近二次","大节气二次排查即将开始：提前准备词/ASIN/图片/价格/促销，不等窗口当天才补结构。",IF($J39="一次排查","今天在一次排查窗口：先筛SKU，看历史动销、库存、利润和Listing匹配。",IF($J39="未到排查","暂不处理，等一次排查窗口。",IF($J39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39" s="42" t="n">
        <x:v>46134</x:v>
      </x:c>
      <x:c r="M39" s="42" t="n">
        <x:v>46134</x:v>
      </x:c>
      <x:c r="N39" s="42" t="n">
        <x:v>46074</x:v>
      </x:c>
      <x:c r="O39" s="42" t="n">
        <x:v>46089</x:v>
      </x:c>
      <x:c r="P39" s="42" t="n">
        <x:v>46104</x:v>
      </x:c>
      <x:c r="Q39" s="42" t="n">
        <x:v>46113</x:v>
      </x:c>
      <x:c r="R39" s="42" t="n">
        <x:v>46120</x:v>
      </x:c>
      <x:c r="S39" s="42" t="n">
        <x:v>46136</x:v>
      </x:c>
      <x:c r="T39" s="43" t="n">
        <x:f>$L39-'今日提醒'!$B$2</x:f>
        <x:v>-33</x:v>
      </x:c>
      <x:c r="U39" s="74" t="n">
        <x:f>IF(OR($J39="收尾下滑",$J39="节后清尾",$J39="节点当日",$J39="节点进行中",$J39="高频跟进",$J39="临近高频",$J39="大节气提前",$J39="二次排查",$J39="临近二次",$J39="一次排查"),IF($J39="收尾下滑",1,IF($J39="节后清尾",2,IF($J39="节点当日",3,IF($J39="节点进行中",4,IF($J39="高频跟进",5,IF($J39="临近高频",6,IF($J39="大节气提前",7,IF($J39="二次排查",8,IF($J39="临近二次",9,10)))))))))*100000+ROW(),99999999+ROW())</x:f>
        <x:v>100000038</x:v>
      </x:c>
      <x:c r="V39" s="15" t="str">
        <x:f>IF(OR($J39="收尾下滑",$J39="节后清尾"),"风险/止损",IF($J39="节点当日","机会/当日冲刺",IF($J39="节点进行中","机会/进行中",IF($J39="高频跟进","机会/高频",IF($J39="大节气提前","机会/大节气提前",IF(OR($J39="临近高频",$J39="临近二次",$J39="二次排查",$J39="一次排查"),"机会/预热","非今日"))))))</x:f>
        <x:v>非今日</x:v>
      </x:c>
      <x:c r="W39" s="15" t="str">
        <x:f>IF($J39="收尾下滑","控投/清尾/算留仓",IF($J39="节后清尾","节后降投/复盘",IF($J39="节点当日","当日冲刺/控尾流",IF($J39="节点进行中","转化监控/看趋势",IF($J39="高频跟进","放量+控ACOS",IF($J39="大节气提前","提前锁结构/预算",IF($J39="临近高频","预查结构/埋词",IF($J39="临近二次","提前补结构/埋词",IF($J39="二次排查","补结构/补词",IF($J39="一次排查","筛SKU/核库存","暂无"))))))))))</x:f>
        <x:v>暂无</x:v>
      </x:c>
      <x:c r="X39" s="15" t="str">
        <x:f>IF(AND('今日提醒'!$B$2&gt;=$L39,'今日提醒'!$B$2&lt;=$M39,$L39=$M39),"节点当日：不是预热",IF(AND('今日提醒'!$B$2&gt;=$L39,'今日提醒'!$B$2&lt;=$M39,'今日提醒'!$B$2&gt;$S39),"高频已结束但销售窗口未结束：疑似尾期/下滑",IF(AND('今日提醒'!$B$2&gt;$M39,'今日提醒'!$B$2&lt;=$S39),"节点已过但仍在清尾窗口",IF($J39="大节气提前","大节气高频前30天：提前进入主推准备",IF($J39="临近二次","大节气二次排查前14天：提前准备","")))))</x:f>
      </x:c>
    </x:row>
    <x:row r="40" ht="58" hidden="0" customHeight="1">
      <x:c r="A40" s="41" t="str">
        <x:v>Medical Laboratory Professionals Week / Lab Week</x:v>
      </x:c>
      <x:c r="B40" s="41" t="str">
        <x:v>医学检验专业人员周/实验室周</x:v>
      </x:c>
      <x:c r="C40" s="41" t="str">
        <x:v>表彰实验室、病理、医学检验人员，适合lab tech主题礼品。</x:v>
      </x:c>
      <x:c r="D40" s="41" t="str">
        <x:v>2026-04-19 ~ 2026-04-25</x:v>
      </x:c>
      <x:c r="E40" s="41" t="str">
        <x:v>每年变动</x:v>
      </x:c>
      <x:c r="F40" s="41" t="str">
        <x:v>lab tech gifts、medical laboratory gifts、显微镜/试管元素小礼</x:v>
      </x:c>
      <x:c r="G40" s="41" t="str">
        <x:v>2026-02-03 ~ 2026-02-18：按职业词筛SKU，核库存、历史动销和礼品适配。</x:v>
      </x:c>
      <x:c r="H40" s="41" t="str">
        <x:v>2026-03-10 ~ 2026-03-20：建/补广告组，补关键词/ASIN，处理低效流量。</x:v>
      </x:c>
      <x:c r="I40" s="41" t="str">
        <x:v>2026-04-05 ~ 2026-04-25：高库存/高花费SKU每日看，其余2-3天看。</x:v>
      </x:c>
      <x:c r="J40" s="41" t="str">
        <x:f>IF(AND('今日提醒'!$B$2&gt;=$L40,'今日提醒'!$B$2&lt;=$M40,$L40=$M40),"节点当日",IF(AND('今日提醒'!$B$2&gt;=$L40,'今日提醒'!$B$2&lt;=$M40,'今日提醒'!$B$2&gt;$S40),"收尾下滑",IF(AND('今日提醒'!$B$2&gt;=$L40,'今日提醒'!$B$2&lt;=$M40),"节点进行中",IF(AND('今日提醒'!$B$2&gt;$M40,'今日提醒'!$B$2&lt;=$S40),"节后清尾",IF(AND('今日提醒'!$B$2&gt;=$R40,'今日提醒'!$B$2&lt;=$S40),"高频跟进",IF(AND('今日提醒'!$B$2&gt;=($R40-14),'今日提醒'!$B$2&lt;$R40,'今日提醒'!$B$2&lt;$L40),"临近高频",IF(AND(OR($A40="Chinese New Year",$A40="Super Bowl",$A40="Valentine's Day",$A40="Valentine Week",$A40="St. Patrick's Day",$A40="Easter",$A40="Graduation Season",$A40="Prom Season",$A40="Teacher Appreciation Week",$A40="Mother's Day",$A40="Memorial Day",$A40="Father's Day",$A40="Independence Day",$A40="Back-to-School Season",$A40="Labor Day",$A40="Halloween",$A40="Thanksgiving",$A40="Black Friday / Cyber Monday",$A40="Christmas",$A40="New Year's Eve / New Year Season"),'今日提醒'!$B$2&gt;=($R40-30),'今日提醒'!$B$2&lt;$R40,'今日提醒'!$B$2&lt;$L40),"大节气提前",IF(AND('今日提醒'!$B$2&gt;=$P40,'今日提醒'!$B$2&lt;=$Q40),"二次排查",IF(AND(OR($A40="Chinese New Year",$A40="Super Bowl",$A40="Valentine's Day",$A40="Valentine Week",$A40="St. Patrick's Day",$A40="Easter",$A40="Graduation Season",$A40="Prom Season",$A40="Teacher Appreciation Week",$A40="Mother's Day",$A40="Memorial Day",$A40="Father's Day",$A40="Independence Day",$A40="Back-to-School Season",$A40="Labor Day",$A40="Halloween",$A40="Thanksgiving",$A40="Black Friday / Cyber Monday",$A40="Christmas",$A40="New Year's Eve / New Year Season"),'今日提醒'!$B$2&gt;=($P40-14),'今日提醒'!$B$2&lt;$P40,'今日提醒'!$B$2&lt;$L40),"临近二次",IF(AND('今日提醒'!$B$2&gt;=$N40,'今日提醒'!$B$2&lt;=$O40),"一次排查",IF('今日提醒'!$B$2&lt;$N40,"未到排查",IF('今日提醒'!$B$2&lt;$L40,"等待下一窗口","已过"))))))))))))</x:f>
        <x:v>已过</x:v>
      </x:c>
      <x:c r="K40" s="41" t="str">
        <x:f>IF($J40="收尾下滑","主购买/高频窗口已过，流量可能走弱：不要盲目加预算或新建组；优先看库存压力、ACOS、广告占比、自然单，仅保留高转化词，计算清货/留仓。",IF($J40="节后清尾","节点已过但仍在清尾窗口：控低效词、降无效预算，复盘转化词；库存重则算清货，库存轻则吃完尾流。",IF($J40="节点当日","今天就是节点当日：优先看转化、库存承接、广告花费和尾流风险；可以吃最后一波有效流量，但不要再大范围新建或盲目加预算。",IF($J40="节点进行中","当前在节点/销售窗口内：这是进行中，不是预热；重点看销量、库存承接、广告花费、转化和是否已出现流量下滑。",IF($J40="高频跟进","今天在高频跟进窗口：头部SKU每日看；重点看高库存、高花费、断货风险和ACOS。",IF($J40="临近高频","高频窗口即将开始：今天先预查广告结构、关键词/ASIN、Listing埋词、库存承接和预算，避免临近节点再补。",IF($J40="大节气提前","大节气提前窗口：不要等高频当天再动；今天先锁定主推SKU、库存承接、Listing节日词、广告结构和预算上限，低相关/低库存产品不硬推。",IF($J40="二次排查","今天在二次排查窗口：补广告结构、关键词/ASIN、预算和Listing埋词。",IF($J40="临近二次","大节气二次排查即将开始：提前准备词/ASIN/图片/价格/促销，不等窗口当天才补结构。",IF($J40="一次排查","今天在一次排查窗口：先筛SKU，看历史动销、库存、利润和Listing匹配。",IF($J40="未到排查","暂不处理，等一次排查窗口。",IF($J40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40" s="42" t="n">
        <x:v>46131</x:v>
      </x:c>
      <x:c r="M40" s="42" t="n">
        <x:v>46137</x:v>
      </x:c>
      <x:c r="N40" s="42" t="n">
        <x:v>46056</x:v>
      </x:c>
      <x:c r="O40" s="42" t="n">
        <x:v>46071</x:v>
      </x:c>
      <x:c r="P40" s="42" t="n">
        <x:v>46091</x:v>
      </x:c>
      <x:c r="Q40" s="42" t="n">
        <x:v>46101</x:v>
      </x:c>
      <x:c r="R40" s="42" t="n">
        <x:v>46117</x:v>
      </x:c>
      <x:c r="S40" s="42" t="n">
        <x:v>46137</x:v>
      </x:c>
      <x:c r="T40" s="43" t="n">
        <x:f>$L40-'今日提醒'!$B$2</x:f>
        <x:v>-36</x:v>
      </x:c>
      <x:c r="U40" s="74" t="n">
        <x:f>IF(OR($J40="收尾下滑",$J40="节后清尾",$J40="节点当日",$J40="节点进行中",$J40="高频跟进",$J40="临近高频",$J40="大节气提前",$J40="二次排查",$J40="临近二次",$J40="一次排查"),IF($J40="收尾下滑",1,IF($J40="节后清尾",2,IF($J40="节点当日",3,IF($J40="节点进行中",4,IF($J40="高频跟进",5,IF($J40="临近高频",6,IF($J40="大节气提前",7,IF($J40="二次排查",8,IF($J40="临近二次",9,10)))))))))*100000+ROW(),99999999+ROW())</x:f>
        <x:v>100000039</x:v>
      </x:c>
      <x:c r="V40" s="15" t="str">
        <x:f>IF(OR($J40="收尾下滑",$J40="节后清尾"),"风险/止损",IF($J40="节点当日","机会/当日冲刺",IF($J40="节点进行中","机会/进行中",IF($J40="高频跟进","机会/高频",IF($J40="大节气提前","机会/大节气提前",IF(OR($J40="临近高频",$J40="临近二次",$J40="二次排查",$J40="一次排查"),"机会/预热","非今日"))))))</x:f>
        <x:v>非今日</x:v>
      </x:c>
      <x:c r="W40" s="15" t="str">
        <x:f>IF($J40="收尾下滑","控投/清尾/算留仓",IF($J40="节后清尾","节后降投/复盘",IF($J40="节点当日","当日冲刺/控尾流",IF($J40="节点进行中","转化监控/看趋势",IF($J40="高频跟进","放量+控ACOS",IF($J40="大节气提前","提前锁结构/预算",IF($J40="临近高频","预查结构/埋词",IF($J40="临近二次","提前补结构/埋词",IF($J40="二次排查","补结构/补词",IF($J40="一次排查","筛SKU/核库存","暂无"))))))))))</x:f>
        <x:v>暂无</x:v>
      </x:c>
      <x:c r="X40" s="15" t="str">
        <x:f>IF(AND('今日提醒'!$B$2&gt;=$L40,'今日提醒'!$B$2&lt;=$M40,$L40=$M40),"节点当日：不是预热",IF(AND('今日提醒'!$B$2&gt;=$L40,'今日提醒'!$B$2&lt;=$M40,'今日提醒'!$B$2&gt;$S40),"高频已结束但销售窗口未结束：疑似尾期/下滑",IF(AND('今日提醒'!$B$2&gt;$M40,'今日提醒'!$B$2&lt;=$S40),"节点已过但仍在清尾窗口",IF($J40="大节气提前","大节气高频前30天：提前进入主推准备",IF($J40="临近二次","大节气二次排查前14天：提前准备","")))))</x:f>
      </x:c>
    </x:row>
    <x:row r="41" ht="58" hidden="0" customHeight="1">
      <x:c r="A41" s="41" t="str">
        <x:v>Dispatcher Week / Public Safety Telecommunicators Week</x:v>
      </x:c>
      <x:c r="B41" s="41" t="str">
        <x:v>调度员/公共安全通信员周</x:v>
      </x:c>
      <x:c r="C41" s="41" t="str">
        <x:v>表彰911调度员与公共安全通信人员，适合dispatcher感谢礼。</x:v>
      </x:c>
      <x:c r="D41" s="41" t="str">
        <x:v>2026-04-12 ~ 2026-04-18</x:v>
      </x:c>
      <x:c r="E41" s="41" t="str">
        <x:v>每年变动</x:v>
      </x:c>
      <x:c r="F41" s="41" t="str">
        <x:v>911 dispatcher gifts、telecommunicator感谢礼、耳机/调度元素小礼</x:v>
      </x:c>
      <x:c r="G41" s="41" t="str">
        <x:v>2026-01-27 ~ 2026-02-11：按职业词筛SKU，核库存、历史动销和礼品适配。</x:v>
      </x:c>
      <x:c r="H41" s="41" t="str">
        <x:v>2026-03-03 ~ 2026-03-13：建/补广告组，补关键词/ASIN，处理低效流量。</x:v>
      </x:c>
      <x:c r="I41" s="41" t="str">
        <x:v>2026-03-29 ~ 2026-04-18：高库存/高花费SKU每日看，其余2-3天看。</x:v>
      </x:c>
      <x:c r="J41" s="41" t="str">
        <x:f>IF(AND('今日提醒'!$B$2&gt;=$L41,'今日提醒'!$B$2&lt;=$M41,$L41=$M41),"节点当日",IF(AND('今日提醒'!$B$2&gt;=$L41,'今日提醒'!$B$2&lt;=$M41,'今日提醒'!$B$2&gt;$S41),"收尾下滑",IF(AND('今日提醒'!$B$2&gt;=$L41,'今日提醒'!$B$2&lt;=$M41),"节点进行中",IF(AND('今日提醒'!$B$2&gt;$M41,'今日提醒'!$B$2&lt;=$S41),"节后清尾",IF(AND('今日提醒'!$B$2&gt;=$R41,'今日提醒'!$B$2&lt;=$S41),"高频跟进",IF(AND('今日提醒'!$B$2&gt;=($R41-14),'今日提醒'!$B$2&lt;$R41,'今日提醒'!$B$2&lt;$L41),"临近高频",IF(AND(OR($A41="Chinese New Year",$A41="Super Bowl",$A41="Valentine's Day",$A41="Valentine Week",$A41="St. Patrick's Day",$A41="Easter",$A41="Graduation Season",$A41="Prom Season",$A41="Teacher Appreciation Week",$A41="Mother's Day",$A41="Memorial Day",$A41="Father's Day",$A41="Independence Day",$A41="Back-to-School Season",$A41="Labor Day",$A41="Halloween",$A41="Thanksgiving",$A41="Black Friday / Cyber Monday",$A41="Christmas",$A41="New Year's Eve / New Year Season"),'今日提醒'!$B$2&gt;=($R41-30),'今日提醒'!$B$2&lt;$R41,'今日提醒'!$B$2&lt;$L41),"大节气提前",IF(AND('今日提醒'!$B$2&gt;=$P41,'今日提醒'!$B$2&lt;=$Q41),"二次排查",IF(AND(OR($A41="Chinese New Year",$A41="Super Bowl",$A41="Valentine's Day",$A41="Valentine Week",$A41="St. Patrick's Day",$A41="Easter",$A41="Graduation Season",$A41="Prom Season",$A41="Teacher Appreciation Week",$A41="Mother's Day",$A41="Memorial Day",$A41="Father's Day",$A41="Independence Day",$A41="Back-to-School Season",$A41="Labor Day",$A41="Halloween",$A41="Thanksgiving",$A41="Black Friday / Cyber Monday",$A41="Christmas",$A41="New Year's Eve / New Year Season"),'今日提醒'!$B$2&gt;=($P41-14),'今日提醒'!$B$2&lt;$P41,'今日提醒'!$B$2&lt;$L41),"临近二次",IF(AND('今日提醒'!$B$2&gt;=$N41,'今日提醒'!$B$2&lt;=$O41),"一次排查",IF('今日提醒'!$B$2&lt;$N41,"未到排查",IF('今日提醒'!$B$2&lt;$L41,"等待下一窗口","已过"))))))))))))</x:f>
        <x:v>已过</x:v>
      </x:c>
      <x:c r="K41" s="41" t="str">
        <x:f>IF($J41="收尾下滑","主购买/高频窗口已过，流量可能走弱：不要盲目加预算或新建组；优先看库存压力、ACOS、广告占比、自然单，仅保留高转化词，计算清货/留仓。",IF($J41="节后清尾","节点已过但仍在清尾窗口：控低效词、降无效预算，复盘转化词；库存重则算清货，库存轻则吃完尾流。",IF($J41="节点当日","今天就是节点当日：优先看转化、库存承接、广告花费和尾流风险；可以吃最后一波有效流量，但不要再大范围新建或盲目加预算。",IF($J41="节点进行中","当前在节点/销售窗口内：这是进行中，不是预热；重点看销量、库存承接、广告花费、转化和是否已出现流量下滑。",IF($J41="高频跟进","今天在高频跟进窗口：头部SKU每日看；重点看高库存、高花费、断货风险和ACOS。",IF($J41="临近高频","高频窗口即将开始：今天先预查广告结构、关键词/ASIN、Listing埋词、库存承接和预算，避免临近节点再补。",IF($J41="大节气提前","大节气提前窗口：不要等高频当天再动；今天先锁定主推SKU、库存承接、Listing节日词、广告结构和预算上限，低相关/低库存产品不硬推。",IF($J41="二次排查","今天在二次排查窗口：补广告结构、关键词/ASIN、预算和Listing埋词。",IF($J41="临近二次","大节气二次排查即将开始：提前准备词/ASIN/图片/价格/促销，不等窗口当天才补结构。",IF($J41="一次排查","今天在一次排查窗口：先筛SKU，看历史动销、库存、利润和Listing匹配。",IF($J41="未到排查","暂不处理，等一次排查窗口。",IF($J41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41" s="42" t="n">
        <x:v>46124</x:v>
      </x:c>
      <x:c r="M41" s="42" t="n">
        <x:v>46130</x:v>
      </x:c>
      <x:c r="N41" s="42" t="n">
        <x:v>46049</x:v>
      </x:c>
      <x:c r="O41" s="42" t="n">
        <x:v>46064</x:v>
      </x:c>
      <x:c r="P41" s="42" t="n">
        <x:v>46084</x:v>
      </x:c>
      <x:c r="Q41" s="42" t="n">
        <x:v>46094</x:v>
      </x:c>
      <x:c r="R41" s="42" t="n">
        <x:v>46110</x:v>
      </x:c>
      <x:c r="S41" s="42" t="n">
        <x:v>46130</x:v>
      </x:c>
      <x:c r="T41" s="43" t="n">
        <x:f>$L41-'今日提醒'!$B$2</x:f>
        <x:v>-43</x:v>
      </x:c>
      <x:c r="U41" s="74" t="n">
        <x:f>IF(OR($J41="收尾下滑",$J41="节后清尾",$J41="节点当日",$J41="节点进行中",$J41="高频跟进",$J41="临近高频",$J41="大节气提前",$J41="二次排查",$J41="临近二次",$J41="一次排查"),IF($J41="收尾下滑",1,IF($J41="节后清尾",2,IF($J41="节点当日",3,IF($J41="节点进行中",4,IF($J41="高频跟进",5,IF($J41="临近高频",6,IF($J41="大节气提前",7,IF($J41="二次排查",8,IF($J41="临近二次",9,10)))))))))*100000+ROW(),99999999+ROW())</x:f>
        <x:v>100000040</x:v>
      </x:c>
      <x:c r="V41" s="15" t="str">
        <x:f>IF(OR($J41="收尾下滑",$J41="节后清尾"),"风险/止损",IF($J41="节点当日","机会/当日冲刺",IF($J41="节点进行中","机会/进行中",IF($J41="高频跟进","机会/高频",IF($J41="大节气提前","机会/大节气提前",IF(OR($J41="临近高频",$J41="临近二次",$J41="二次排查",$J41="一次排查"),"机会/预热","非今日"))))))</x:f>
        <x:v>非今日</x:v>
      </x:c>
      <x:c r="W41" s="15" t="str">
        <x:f>IF($J41="收尾下滑","控投/清尾/算留仓",IF($J41="节后清尾","节后降投/复盘",IF($J41="节点当日","当日冲刺/控尾流",IF($J41="节点进行中","转化监控/看趋势",IF($J41="高频跟进","放量+控ACOS",IF($J41="大节气提前","提前锁结构/预算",IF($J41="临近高频","预查结构/埋词",IF($J41="临近二次","提前补结构/埋词",IF($J41="二次排查","补结构/补词",IF($J41="一次排查","筛SKU/核库存","暂无"))))))))))</x:f>
        <x:v>暂无</x:v>
      </x:c>
      <x:c r="X41" s="15" t="str">
        <x:f>IF(AND('今日提醒'!$B$2&gt;=$L41,'今日提醒'!$B$2&lt;=$M41,$L41=$M41),"节点当日：不是预热",IF(AND('今日提醒'!$B$2&gt;=$L41,'今日提醒'!$B$2&lt;=$M41,'今日提醒'!$B$2&gt;$S41),"高频已结束但销售窗口未结束：疑似尾期/下滑",IF(AND('今日提醒'!$B$2&gt;$M41,'今日提醒'!$B$2&lt;=$S41),"节点已过但仍在清尾窗口",IF($J41="大节气提前","大节气高频前30天：提前进入主推准备",IF($J41="临近二次","大节气二次排查前14天：提前准备","")))))</x:f>
      </x:c>
    </x:row>
    <x:row r="42" ht="58" hidden="0" customHeight="1">
      <x:c r="A42" s="41" t="str">
        <x:v>Telecommunicator Week</x:v>
      </x:c>
      <x:c r="B42" s="41" t="str">
        <x:v>通信调度员周</x:v>
      </x:c>
      <x:c r="C42" s="41" t="str">
        <x:v>与公共安全通信员周高度重合，适合911、dispatch、telecommunicator关键词。</x:v>
      </x:c>
      <x:c r="D42" s="41" t="str">
        <x:v>2026-04-12 ~ 2026-04-18</x:v>
      </x:c>
      <x:c r="E42" s="41" t="str">
        <x:v>每年变动</x:v>
      </x:c>
      <x:c r="F42" s="41" t="str">
        <x:v>911 dispatcher gifts、telecommunicator感谢礼、耳机/调度元素小礼</x:v>
      </x:c>
      <x:c r="G42" s="41" t="str">
        <x:v>2026-01-27 ~ 2026-02-11：按职业词筛SKU，核库存、历史动销和礼品适配。</x:v>
      </x:c>
      <x:c r="H42" s="41" t="str">
        <x:v>2026-03-03 ~ 2026-03-13：建/补广告组，补关键词/ASIN，处理低效流量。</x:v>
      </x:c>
      <x:c r="I42" s="41" t="str">
        <x:v>2026-03-29 ~ 2026-04-18：高库存/高花费SKU每日看，其余2-3天看。</x:v>
      </x:c>
      <x:c r="J42" s="41" t="str">
        <x:f>IF(AND('今日提醒'!$B$2&gt;=$L42,'今日提醒'!$B$2&lt;=$M42,$L42=$M42),"节点当日",IF(AND('今日提醒'!$B$2&gt;=$L42,'今日提醒'!$B$2&lt;=$M42,'今日提醒'!$B$2&gt;$S42),"收尾下滑",IF(AND('今日提醒'!$B$2&gt;=$L42,'今日提醒'!$B$2&lt;=$M42),"节点进行中",IF(AND('今日提醒'!$B$2&gt;$M42,'今日提醒'!$B$2&lt;=$S42),"节后清尾",IF(AND('今日提醒'!$B$2&gt;=$R42,'今日提醒'!$B$2&lt;=$S42),"高频跟进",IF(AND('今日提醒'!$B$2&gt;=($R42-14),'今日提醒'!$B$2&lt;$R42,'今日提醒'!$B$2&lt;$L42),"临近高频",IF(AND(OR($A42="Chinese New Year",$A42="Super Bowl",$A42="Valentine's Day",$A42="Valentine Week",$A42="St. Patrick's Day",$A42="Easter",$A42="Graduation Season",$A42="Prom Season",$A42="Teacher Appreciation Week",$A42="Mother's Day",$A42="Memorial Day",$A42="Father's Day",$A42="Independence Day",$A42="Back-to-School Season",$A42="Labor Day",$A42="Halloween",$A42="Thanksgiving",$A42="Black Friday / Cyber Monday",$A42="Christmas",$A42="New Year's Eve / New Year Season"),'今日提醒'!$B$2&gt;=($R42-30),'今日提醒'!$B$2&lt;$R42,'今日提醒'!$B$2&lt;$L42),"大节气提前",IF(AND('今日提醒'!$B$2&gt;=$P42,'今日提醒'!$B$2&lt;=$Q42),"二次排查",IF(AND(OR($A42="Chinese New Year",$A42="Super Bowl",$A42="Valentine's Day",$A42="Valentine Week",$A42="St. Patrick's Day",$A42="Easter",$A42="Graduation Season",$A42="Prom Season",$A42="Teacher Appreciation Week",$A42="Mother's Day",$A42="Memorial Day",$A42="Father's Day",$A42="Independence Day",$A42="Back-to-School Season",$A42="Labor Day",$A42="Halloween",$A42="Thanksgiving",$A42="Black Friday / Cyber Monday",$A42="Christmas",$A42="New Year's Eve / New Year Season"),'今日提醒'!$B$2&gt;=($P42-14),'今日提醒'!$B$2&lt;$P42,'今日提醒'!$B$2&lt;$L42),"临近二次",IF(AND('今日提醒'!$B$2&gt;=$N42,'今日提醒'!$B$2&lt;=$O42),"一次排查",IF('今日提醒'!$B$2&lt;$N42,"未到排查",IF('今日提醒'!$B$2&lt;$L42,"等待下一窗口","已过"))))))))))))</x:f>
        <x:v>已过</x:v>
      </x:c>
      <x:c r="K42" s="41" t="str">
        <x:f>IF($J42="收尾下滑","主购买/高频窗口已过，流量可能走弱：不要盲目加预算或新建组；优先看库存压力、ACOS、广告占比、自然单，仅保留高转化词，计算清货/留仓。",IF($J42="节后清尾","节点已过但仍在清尾窗口：控低效词、降无效预算，复盘转化词；库存重则算清货，库存轻则吃完尾流。",IF($J42="节点当日","今天就是节点当日：优先看转化、库存承接、广告花费和尾流风险；可以吃最后一波有效流量，但不要再大范围新建或盲目加预算。",IF($J42="节点进行中","当前在节点/销售窗口内：这是进行中，不是预热；重点看销量、库存承接、广告花费、转化和是否已出现流量下滑。",IF($J42="高频跟进","今天在高频跟进窗口：头部SKU每日看；重点看高库存、高花费、断货风险和ACOS。",IF($J42="临近高频","高频窗口即将开始：今天先预查广告结构、关键词/ASIN、Listing埋词、库存承接和预算，避免临近节点再补。",IF($J42="大节气提前","大节气提前窗口：不要等高频当天再动；今天先锁定主推SKU、库存承接、Listing节日词、广告结构和预算上限，低相关/低库存产品不硬推。",IF($J42="二次排查","今天在二次排查窗口：补广告结构、关键词/ASIN、预算和Listing埋词。",IF($J42="临近二次","大节气二次排查即将开始：提前准备词/ASIN/图片/价格/促销，不等窗口当天才补结构。",IF($J42="一次排查","今天在一次排查窗口：先筛SKU，看历史动销、库存、利润和Listing匹配。",IF($J42="未到排查","暂不处理，等一次排查窗口。",IF($J42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42" s="42" t="n">
        <x:v>46124</x:v>
      </x:c>
      <x:c r="M42" s="42" t="n">
        <x:v>46130</x:v>
      </x:c>
      <x:c r="N42" s="42" t="n">
        <x:v>46049</x:v>
      </x:c>
      <x:c r="O42" s="42" t="n">
        <x:v>46064</x:v>
      </x:c>
      <x:c r="P42" s="42" t="n">
        <x:v>46084</x:v>
      </x:c>
      <x:c r="Q42" s="42" t="n">
        <x:v>46094</x:v>
      </x:c>
      <x:c r="R42" s="42" t="n">
        <x:v>46110</x:v>
      </x:c>
      <x:c r="S42" s="42" t="n">
        <x:v>46130</x:v>
      </x:c>
      <x:c r="T42" s="43" t="n">
        <x:f>$L42-'今日提醒'!$B$2</x:f>
        <x:v>-43</x:v>
      </x:c>
      <x:c r="U42" s="74" t="n">
        <x:f>IF(OR($J42="收尾下滑",$J42="节后清尾",$J42="节点当日",$J42="节点进行中",$J42="高频跟进",$J42="临近高频",$J42="大节气提前",$J42="二次排查",$J42="临近二次",$J42="一次排查"),IF($J42="收尾下滑",1,IF($J42="节后清尾",2,IF($J42="节点当日",3,IF($J42="节点进行中",4,IF($J42="高频跟进",5,IF($J42="临近高频",6,IF($J42="大节气提前",7,IF($J42="二次排查",8,IF($J42="临近二次",9,10)))))))))*100000+ROW(),99999999+ROW())</x:f>
        <x:v>100000041</x:v>
      </x:c>
      <x:c r="V42" s="15" t="str">
        <x:f>IF(OR($J42="收尾下滑",$J42="节后清尾"),"风险/止损",IF($J42="节点当日","机会/当日冲刺",IF($J42="节点进行中","机会/进行中",IF($J42="高频跟进","机会/高频",IF($J42="大节气提前","机会/大节气提前",IF(OR($J42="临近高频",$J42="临近二次",$J42="二次排查",$J42="一次排查"),"机会/预热","非今日"))))))</x:f>
        <x:v>非今日</x:v>
      </x:c>
      <x:c r="W42" s="15" t="str">
        <x:f>IF($J42="收尾下滑","控投/清尾/算留仓",IF($J42="节后清尾","节后降投/复盘",IF($J42="节点当日","当日冲刺/控尾流",IF($J42="节点进行中","转化监控/看趋势",IF($J42="高频跟进","放量+控ACOS",IF($J42="大节气提前","提前锁结构/预算",IF($J42="临近高频","预查结构/埋词",IF($J42="临近二次","提前补结构/埋词",IF($J42="二次排查","补结构/补词",IF($J42="一次排查","筛SKU/核库存","暂无"))))))))))</x:f>
        <x:v>暂无</x:v>
      </x:c>
      <x:c r="X42" s="15" t="str">
        <x:f>IF(AND('今日提醒'!$B$2&gt;=$L42,'今日提醒'!$B$2&lt;=$M42,$L42=$M42),"节点当日：不是预热",IF(AND('今日提醒'!$B$2&gt;=$L42,'今日提醒'!$B$2&lt;=$M42,'今日提醒'!$B$2&gt;$S42),"高频已结束但销售窗口未结束：疑似尾期/下滑",IF(AND('今日提醒'!$B$2&gt;$M42,'今日提醒'!$B$2&lt;=$S42),"节点已过但仍在清尾窗口",IF($J42="大节气提前","大节气高频前30天：提前进入主推准备",IF($J42="临近二次","大节气二次排查前14天：提前准备","")))))</x:f>
      </x:c>
    </x:row>
    <x:row r="43" ht="58" hidden="0" customHeight="1">
      <x:c r="A43" s="41" t="str">
        <x:v>World Veterinary Day</x:v>
      </x:c>
      <x:c r="B43" s="41" t="str">
        <x:v>世界兽医日</x:v>
      </x:c>
      <x:c r="C43" s="41" t="str">
        <x:v>表彰兽医对动物健康与公共卫生的贡献，适合兽医感谢礼。</x:v>
      </x:c>
      <x:c r="D43" s="41" t="str">
        <x:v>2026-04-25</x:v>
      </x:c>
      <x:c r="E43" s="41" t="str">
        <x:v>每年变动</x:v>
      </x:c>
      <x:c r="F43" s="41" t="str">
        <x:v>public health worker gifts、health awareness cards、团队感谢礼</x:v>
      </x:c>
      <x:c r="G43" s="41" t="str">
        <x:v>2026-02-24 ~ 2026-03-11：先筛匹配SKU、历史销量、库存和利润空间。</x:v>
      </x:c>
      <x:c r="H43" s="41" t="str">
        <x:v>2026-03-26 ~ 2026-04-04：补关键词/ASIN、Listing埋词和广告预算。</x:v>
      </x:c>
      <x:c r="I43" s="41" t="str">
        <x:v>2026-04-11 ~ 2026-04-27：重点SKU每日看，普通SKU每2-3天看。</x:v>
      </x:c>
      <x:c r="J43" s="41" t="str">
        <x:f>IF(AND('今日提醒'!$B$2&gt;=$L43,'今日提醒'!$B$2&lt;=$M43,$L43=$M43),"节点当日",IF(AND('今日提醒'!$B$2&gt;=$L43,'今日提醒'!$B$2&lt;=$M43,'今日提醒'!$B$2&gt;$S43),"收尾下滑",IF(AND('今日提醒'!$B$2&gt;=$L43,'今日提醒'!$B$2&lt;=$M43),"节点进行中",IF(AND('今日提醒'!$B$2&gt;$M43,'今日提醒'!$B$2&lt;=$S43),"节后清尾",IF(AND('今日提醒'!$B$2&gt;=$R43,'今日提醒'!$B$2&lt;=$S43),"高频跟进",IF(AND('今日提醒'!$B$2&gt;=($R43-14),'今日提醒'!$B$2&lt;$R43,'今日提醒'!$B$2&lt;$L43),"临近高频",IF(AND(OR($A43="Chinese New Year",$A43="Super Bowl",$A43="Valentine's Day",$A43="Valentine Week",$A43="St. Patrick's Day",$A43="Easter",$A43="Graduation Season",$A43="Prom Season",$A43="Teacher Appreciation Week",$A43="Mother's Day",$A43="Memorial Day",$A43="Father's Day",$A43="Independence Day",$A43="Back-to-School Season",$A43="Labor Day",$A43="Halloween",$A43="Thanksgiving",$A43="Black Friday / Cyber Monday",$A43="Christmas",$A43="New Year's Eve / New Year Season"),'今日提醒'!$B$2&gt;=($R43-30),'今日提醒'!$B$2&lt;$R43,'今日提醒'!$B$2&lt;$L43),"大节气提前",IF(AND('今日提醒'!$B$2&gt;=$P43,'今日提醒'!$B$2&lt;=$Q43),"二次排查",IF(AND(OR($A43="Chinese New Year",$A43="Super Bowl",$A43="Valentine's Day",$A43="Valentine Week",$A43="St. Patrick's Day",$A43="Easter",$A43="Graduation Season",$A43="Prom Season",$A43="Teacher Appreciation Week",$A43="Mother's Day",$A43="Memorial Day",$A43="Father's Day",$A43="Independence Day",$A43="Back-to-School Season",$A43="Labor Day",$A43="Halloween",$A43="Thanksgiving",$A43="Black Friday / Cyber Monday",$A43="Christmas",$A43="New Year's Eve / New Year Season"),'今日提醒'!$B$2&gt;=($P43-14),'今日提醒'!$B$2&lt;$P43,'今日提醒'!$B$2&lt;$L43),"临近二次",IF(AND('今日提醒'!$B$2&gt;=$N43,'今日提醒'!$B$2&lt;=$O43),"一次排查",IF('今日提醒'!$B$2&lt;$N43,"未到排查",IF('今日提醒'!$B$2&lt;$L43,"等待下一窗口","已过"))))))))))))</x:f>
        <x:v>已过</x:v>
      </x:c>
      <x:c r="K43" s="41" t="str">
        <x:f>IF($J43="收尾下滑","主购买/高频窗口已过，流量可能走弱：不要盲目加预算或新建组；优先看库存压力、ACOS、广告占比、自然单，仅保留高转化词，计算清货/留仓。",IF($J43="节后清尾","节点已过但仍在清尾窗口：控低效词、降无效预算，复盘转化词；库存重则算清货，库存轻则吃完尾流。",IF($J43="节点当日","今天就是节点当日：优先看转化、库存承接、广告花费和尾流风险；可以吃最后一波有效流量，但不要再大范围新建或盲目加预算。",IF($J43="节点进行中","当前在节点/销售窗口内：这是进行中，不是预热；重点看销量、库存承接、广告花费、转化和是否已出现流量下滑。",IF($J43="高频跟进","今天在高频跟进窗口：头部SKU每日看；重点看高库存、高花费、断货风险和ACOS。",IF($J43="临近高频","高频窗口即将开始：今天先预查广告结构、关键词/ASIN、Listing埋词、库存承接和预算，避免临近节点再补。",IF($J43="大节气提前","大节气提前窗口：不要等高频当天再动；今天先锁定主推SKU、库存承接、Listing节日词、广告结构和预算上限，低相关/低库存产品不硬推。",IF($J43="二次排查","今天在二次排查窗口：补广告结构、关键词/ASIN、预算和Listing埋词。",IF($J43="临近二次","大节气二次排查即将开始：提前准备词/ASIN/图片/价格/促销，不等窗口当天才补结构。",IF($J43="一次排查","今天在一次排查窗口：先筛SKU，看历史动销、库存、利润和Listing匹配。",IF($J43="未到排查","暂不处理，等一次排查窗口。",IF($J43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43" s="42" t="n">
        <x:v>46137</x:v>
      </x:c>
      <x:c r="M43" s="42" t="n">
        <x:v>46137</x:v>
      </x:c>
      <x:c r="N43" s="42" t="n">
        <x:v>46077</x:v>
      </x:c>
      <x:c r="O43" s="42" t="n">
        <x:v>46092</x:v>
      </x:c>
      <x:c r="P43" s="42" t="n">
        <x:v>46107</x:v>
      </x:c>
      <x:c r="Q43" s="42" t="n">
        <x:v>46116</x:v>
      </x:c>
      <x:c r="R43" s="42" t="n">
        <x:v>46123</x:v>
      </x:c>
      <x:c r="S43" s="42" t="n">
        <x:v>46139</x:v>
      </x:c>
      <x:c r="T43" s="43" t="n">
        <x:f>$L43-'今日提醒'!$B$2</x:f>
        <x:v>-30</x:v>
      </x:c>
      <x:c r="U43" s="74" t="n">
        <x:f>IF(OR($J43="收尾下滑",$J43="节后清尾",$J43="节点当日",$J43="节点进行中",$J43="高频跟进",$J43="临近高频",$J43="大节气提前",$J43="二次排查",$J43="临近二次",$J43="一次排查"),IF($J43="收尾下滑",1,IF($J43="节后清尾",2,IF($J43="节点当日",3,IF($J43="节点进行中",4,IF($J43="高频跟进",5,IF($J43="临近高频",6,IF($J43="大节气提前",7,IF($J43="二次排查",8,IF($J43="临近二次",9,10)))))))))*100000+ROW(),99999999+ROW())</x:f>
        <x:v>100000042</x:v>
      </x:c>
      <x:c r="V43" s="15" t="str">
        <x:f>IF(OR($J43="收尾下滑",$J43="节后清尾"),"风险/止损",IF($J43="节点当日","机会/当日冲刺",IF($J43="节点进行中","机会/进行中",IF($J43="高频跟进","机会/高频",IF($J43="大节气提前","机会/大节气提前",IF(OR($J43="临近高频",$J43="临近二次",$J43="二次排查",$J43="一次排查"),"机会/预热","非今日"))))))</x:f>
        <x:v>非今日</x:v>
      </x:c>
      <x:c r="W43" s="15" t="str">
        <x:f>IF($J43="收尾下滑","控投/清尾/算留仓",IF($J43="节后清尾","节后降投/复盘",IF($J43="节点当日","当日冲刺/控尾流",IF($J43="节点进行中","转化监控/看趋势",IF($J43="高频跟进","放量+控ACOS",IF($J43="大节气提前","提前锁结构/预算",IF($J43="临近高频","预查结构/埋词",IF($J43="临近二次","提前补结构/埋词",IF($J43="二次排查","补结构/补词",IF($J43="一次排查","筛SKU/核库存","暂无"))))))))))</x:f>
        <x:v>暂无</x:v>
      </x:c>
      <x:c r="X43" s="15" t="str">
        <x:f>IF(AND('今日提醒'!$B$2&gt;=$L43,'今日提醒'!$B$2&lt;=$M43,$L43=$M43),"节点当日：不是预热",IF(AND('今日提醒'!$B$2&gt;=$L43,'今日提醒'!$B$2&lt;=$M43,'今日提醒'!$B$2&gt;$S43),"高频已结束但销售窗口未结束：疑似尾期/下滑",IF(AND('今日提醒'!$B$2&gt;$M43,'今日提醒'!$B$2&lt;=$S43),"节点已过但仍在清尾窗口",IF($J43="大节气提前","大节气高频前30天：提前进入主推准备",IF($J43="临近二次","大节气二次排查前14天：提前准备","")))))</x:f>
      </x:c>
    </x:row>
    <x:row r="44" ht="58" hidden="0" customHeight="1">
      <x:c r="A44" s="41" t="str">
        <x:v>Veterinary Receptionist Week</x:v>
      </x:c>
      <x:c r="B44" s="41" t="str">
        <x:v>兽医前台接待员周</x:v>
      </x:c>
      <x:c r="C44" s="41" t="str">
        <x:v>表彰宠物医院前台与客户服务人员，适合vet receptionist礼品。</x:v>
      </x:c>
      <x:c r="D44" s="41" t="str">
        <x:v>2026-04-19 ~ 2026-04-25</x:v>
      </x:c>
      <x:c r="E44" s="41" t="str">
        <x:v>每年变动</x:v>
      </x:c>
      <x:c r="F44" s="41" t="str">
        <x:v>hospital staff gifts、healthcare worker bulk gifts、感谢卡/钥匙扣</x:v>
      </x:c>
      <x:c r="G44" s="41" t="str">
        <x:v>2026-02-03 ~ 2026-02-18：按职业词筛SKU，核库存、历史动销和礼品适配。</x:v>
      </x:c>
      <x:c r="H44" s="41" t="str">
        <x:v>2026-03-10 ~ 2026-03-20：建/补广告组，补关键词/ASIN，处理低效流量。</x:v>
      </x:c>
      <x:c r="I44" s="41" t="str">
        <x:v>2026-04-05 ~ 2026-04-25：高库存/高花费SKU每日看，其余2-3天看。</x:v>
      </x:c>
      <x:c r="J44" s="41" t="str">
        <x:f>IF(AND('今日提醒'!$B$2&gt;=$L44,'今日提醒'!$B$2&lt;=$M44,$L44=$M44),"节点当日",IF(AND('今日提醒'!$B$2&gt;=$L44,'今日提醒'!$B$2&lt;=$M44,'今日提醒'!$B$2&gt;$S44),"收尾下滑",IF(AND('今日提醒'!$B$2&gt;=$L44,'今日提醒'!$B$2&lt;=$M44),"节点进行中",IF(AND('今日提醒'!$B$2&gt;$M44,'今日提醒'!$B$2&lt;=$S44),"节后清尾",IF(AND('今日提醒'!$B$2&gt;=$R44,'今日提醒'!$B$2&lt;=$S44),"高频跟进",IF(AND('今日提醒'!$B$2&gt;=($R44-14),'今日提醒'!$B$2&lt;$R44,'今日提醒'!$B$2&lt;$L44),"临近高频",IF(AND(OR($A44="Chinese New Year",$A44="Super Bowl",$A44="Valentine's Day",$A44="Valentine Week",$A44="St. Patrick's Day",$A44="Easter",$A44="Graduation Season",$A44="Prom Season",$A44="Teacher Appreciation Week",$A44="Mother's Day",$A44="Memorial Day",$A44="Father's Day",$A44="Independence Day",$A44="Back-to-School Season",$A44="Labor Day",$A44="Halloween",$A44="Thanksgiving",$A44="Black Friday / Cyber Monday",$A44="Christmas",$A44="New Year's Eve / New Year Season"),'今日提醒'!$B$2&gt;=($R44-30),'今日提醒'!$B$2&lt;$R44,'今日提醒'!$B$2&lt;$L44),"大节气提前",IF(AND('今日提醒'!$B$2&gt;=$P44,'今日提醒'!$B$2&lt;=$Q44),"二次排查",IF(AND(OR($A44="Chinese New Year",$A44="Super Bowl",$A44="Valentine's Day",$A44="Valentine Week",$A44="St. Patrick's Day",$A44="Easter",$A44="Graduation Season",$A44="Prom Season",$A44="Teacher Appreciation Week",$A44="Mother's Day",$A44="Memorial Day",$A44="Father's Day",$A44="Independence Day",$A44="Back-to-School Season",$A44="Labor Day",$A44="Halloween",$A44="Thanksgiving",$A44="Black Friday / Cyber Monday",$A44="Christmas",$A44="New Year's Eve / New Year Season"),'今日提醒'!$B$2&gt;=($P44-14),'今日提醒'!$B$2&lt;$P44,'今日提醒'!$B$2&lt;$L44),"临近二次",IF(AND('今日提醒'!$B$2&gt;=$N44,'今日提醒'!$B$2&lt;=$O44),"一次排查",IF('今日提醒'!$B$2&lt;$N44,"未到排查",IF('今日提醒'!$B$2&lt;$L44,"等待下一窗口","已过"))))))))))))</x:f>
        <x:v>已过</x:v>
      </x:c>
      <x:c r="K44" s="41" t="str">
        <x:f>IF($J44="收尾下滑","主购买/高频窗口已过，流量可能走弱：不要盲目加预算或新建组；优先看库存压力、ACOS、广告占比、自然单，仅保留高转化词，计算清货/留仓。",IF($J44="节后清尾","节点已过但仍在清尾窗口：控低效词、降无效预算，复盘转化词；库存重则算清货，库存轻则吃完尾流。",IF($J44="节点当日","今天就是节点当日：优先看转化、库存承接、广告花费和尾流风险；可以吃最后一波有效流量，但不要再大范围新建或盲目加预算。",IF($J44="节点进行中","当前在节点/销售窗口内：这是进行中，不是预热；重点看销量、库存承接、广告花费、转化和是否已出现流量下滑。",IF($J44="高频跟进","今天在高频跟进窗口：头部SKU每日看；重点看高库存、高花费、断货风险和ACOS。",IF($J44="临近高频","高频窗口即将开始：今天先预查广告结构、关键词/ASIN、Listing埋词、库存承接和预算，避免临近节点再补。",IF($J44="大节气提前","大节气提前窗口：不要等高频当天再动；今天先锁定主推SKU、库存承接、Listing节日词、广告结构和预算上限，低相关/低库存产品不硬推。",IF($J44="二次排查","今天在二次排查窗口：补广告结构、关键词/ASIN、预算和Listing埋词。",IF($J44="临近二次","大节气二次排查即将开始：提前准备词/ASIN/图片/价格/促销，不等窗口当天才补结构。",IF($J44="一次排查","今天在一次排查窗口：先筛SKU，看历史动销、库存、利润和Listing匹配。",IF($J44="未到排查","暂不处理，等一次排查窗口。",IF($J44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44" s="42" t="n">
        <x:v>46131</x:v>
      </x:c>
      <x:c r="M44" s="42" t="n">
        <x:v>46137</x:v>
      </x:c>
      <x:c r="N44" s="42" t="n">
        <x:v>46056</x:v>
      </x:c>
      <x:c r="O44" s="42" t="n">
        <x:v>46071</x:v>
      </x:c>
      <x:c r="P44" s="42" t="n">
        <x:v>46091</x:v>
      </x:c>
      <x:c r="Q44" s="42" t="n">
        <x:v>46101</x:v>
      </x:c>
      <x:c r="R44" s="42" t="n">
        <x:v>46117</x:v>
      </x:c>
      <x:c r="S44" s="42" t="n">
        <x:v>46137</x:v>
      </x:c>
      <x:c r="T44" s="43" t="n">
        <x:f>$L44-'今日提醒'!$B$2</x:f>
        <x:v>-36</x:v>
      </x:c>
      <x:c r="U44" s="74" t="n">
        <x:f>IF(OR($J44="收尾下滑",$J44="节后清尾",$J44="节点当日",$J44="节点进行中",$J44="高频跟进",$J44="临近高频",$J44="大节气提前",$J44="二次排查",$J44="临近二次",$J44="一次排查"),IF($J44="收尾下滑",1,IF($J44="节后清尾",2,IF($J44="节点当日",3,IF($J44="节点进行中",4,IF($J44="高频跟进",5,IF($J44="临近高频",6,IF($J44="大节气提前",7,IF($J44="二次排查",8,IF($J44="临近二次",9,10)))))))))*100000+ROW(),99999999+ROW())</x:f>
        <x:v>100000043</x:v>
      </x:c>
      <x:c r="V44" s="15" t="str">
        <x:f>IF(OR($J44="收尾下滑",$J44="节后清尾"),"风险/止损",IF($J44="节点当日","机会/当日冲刺",IF($J44="节点进行中","机会/进行中",IF($J44="高频跟进","机会/高频",IF($J44="大节气提前","机会/大节气提前",IF(OR($J44="临近高频",$J44="临近二次",$J44="二次排查",$J44="一次排查"),"机会/预热","非今日"))))))</x:f>
        <x:v>非今日</x:v>
      </x:c>
      <x:c r="W44" s="15" t="str">
        <x:f>IF($J44="收尾下滑","控投/清尾/算留仓",IF($J44="节后清尾","节后降投/复盘",IF($J44="节点当日","当日冲刺/控尾流",IF($J44="节点进行中","转化监控/看趋势",IF($J44="高频跟进","放量+控ACOS",IF($J44="大节气提前","提前锁结构/预算",IF($J44="临近高频","预查结构/埋词",IF($J44="临近二次","提前补结构/埋词",IF($J44="二次排查","补结构/补词",IF($J44="一次排查","筛SKU/核库存","暂无"))))))))))</x:f>
        <x:v>暂无</x:v>
      </x:c>
      <x:c r="X44" s="15" t="str">
        <x:f>IF(AND('今日提醒'!$B$2&gt;=$L44,'今日提醒'!$B$2&lt;=$M44,$L44=$M44),"节点当日：不是预热",IF(AND('今日提醒'!$B$2&gt;=$L44,'今日提醒'!$B$2&lt;=$M44,'今日提醒'!$B$2&gt;$S44),"高频已结束但销售窗口未结束：疑似尾期/下滑",IF(AND('今日提醒'!$B$2&gt;$M44,'今日提醒'!$B$2&lt;=$S44),"节点已过但仍在清尾窗口",IF($J44="大节气提前","大节气高频前30天：提前进入主推准备",IF($J44="临近二次","大节气二次排查前14天：提前准备","")))))</x:f>
      </x:c>
    </x:row>
    <x:row r="45" ht="58" hidden="0" customHeight="1">
      <x:c r="A45" s="41" t="str">
        <x:v>National Counselor Recognition Day</x:v>
      </x:c>
      <x:c r="B45" s="41" t="str">
        <x:v>咨询师表彰日</x:v>
      </x:c>
      <x:c r="C45" s="41" t="str">
        <x:v>感谢心理咨询师、学校辅导员等支持性岗位，适合counselor礼品。</x:v>
      </x:c>
      <x:c r="D45" s="41" t="str">
        <x:v>2026-04-22</x:v>
      </x:c>
      <x:c r="E45" s="41" t="str">
        <x:v>口径需复核：按截图口径</x:v>
      </x:c>
      <x:c r="F45" s="41" t="str">
        <x:v>school counselor gifts、counselor感谢卡、办公室桌面小礼</x:v>
      </x:c>
      <x:c r="G45" s="41" t="str">
        <x:v>2026-02-21 ~ 2026-03-08：先筛匹配SKU、历史销量、库存和利润空间。</x:v>
      </x:c>
      <x:c r="H45" s="41" t="str">
        <x:v>2026-03-23 ~ 2026-04-01：补关键词/ASIN、Listing埋词和广告预算。</x:v>
      </x:c>
      <x:c r="I45" s="41" t="str">
        <x:v>2026-04-08 ~ 2026-04-24：重点SKU每日看，普通SKU每2-3天看。</x:v>
      </x:c>
      <x:c r="J45" s="41" t="str">
        <x:f>IF(AND('今日提醒'!$B$2&gt;=$L45,'今日提醒'!$B$2&lt;=$M45,$L45=$M45),"节点当日",IF(AND('今日提醒'!$B$2&gt;=$L45,'今日提醒'!$B$2&lt;=$M45,'今日提醒'!$B$2&gt;$S45),"收尾下滑",IF(AND('今日提醒'!$B$2&gt;=$L45,'今日提醒'!$B$2&lt;=$M45),"节点进行中",IF(AND('今日提醒'!$B$2&gt;$M45,'今日提醒'!$B$2&lt;=$S45),"节后清尾",IF(AND('今日提醒'!$B$2&gt;=$R45,'今日提醒'!$B$2&lt;=$S45),"高频跟进",IF(AND('今日提醒'!$B$2&gt;=($R45-14),'今日提醒'!$B$2&lt;$R45,'今日提醒'!$B$2&lt;$L45),"临近高频",IF(AND(OR($A45="Chinese New Year",$A45="Super Bowl",$A45="Valentine's Day",$A45="Valentine Week",$A45="St. Patrick's Day",$A45="Easter",$A45="Graduation Season",$A45="Prom Season",$A45="Teacher Appreciation Week",$A45="Mother's Day",$A45="Memorial Day",$A45="Father's Day",$A45="Independence Day",$A45="Back-to-School Season",$A45="Labor Day",$A45="Halloween",$A45="Thanksgiving",$A45="Black Friday / Cyber Monday",$A45="Christmas",$A45="New Year's Eve / New Year Season"),'今日提醒'!$B$2&gt;=($R45-30),'今日提醒'!$B$2&lt;$R45,'今日提醒'!$B$2&lt;$L45),"大节气提前",IF(AND('今日提醒'!$B$2&gt;=$P45,'今日提醒'!$B$2&lt;=$Q45),"二次排查",IF(AND(OR($A45="Chinese New Year",$A45="Super Bowl",$A45="Valentine's Day",$A45="Valentine Week",$A45="St. Patrick's Day",$A45="Easter",$A45="Graduation Season",$A45="Prom Season",$A45="Teacher Appreciation Week",$A45="Mother's Day",$A45="Memorial Day",$A45="Father's Day",$A45="Independence Day",$A45="Back-to-School Season",$A45="Labor Day",$A45="Halloween",$A45="Thanksgiving",$A45="Black Friday / Cyber Monday",$A45="Christmas",$A45="New Year's Eve / New Year Season"),'今日提醒'!$B$2&gt;=($P45-14),'今日提醒'!$B$2&lt;$P45,'今日提醒'!$B$2&lt;$L45),"临近二次",IF(AND('今日提醒'!$B$2&gt;=$N45,'今日提醒'!$B$2&lt;=$O45),"一次排查",IF('今日提醒'!$B$2&lt;$N45,"未到排查",IF('今日提醒'!$B$2&lt;$L45,"等待下一窗口","已过"))))))))))))</x:f>
        <x:v>已过</x:v>
      </x:c>
      <x:c r="K45" s="41" t="str">
        <x:f>IF($J45="收尾下滑","主购买/高频窗口已过，流量可能走弱：不要盲目加预算或新建组；优先看库存压力、ACOS、广告占比、自然单，仅保留高转化词，计算清货/留仓。",IF($J45="节后清尾","节点已过但仍在清尾窗口：控低效词、降无效预算，复盘转化词；库存重则算清货，库存轻则吃完尾流。",IF($J45="节点当日","今天就是节点当日：优先看转化、库存承接、广告花费和尾流风险；可以吃最后一波有效流量，但不要再大范围新建或盲目加预算。",IF($J45="节点进行中","当前在节点/销售窗口内：这是进行中，不是预热；重点看销量、库存承接、广告花费、转化和是否已出现流量下滑。",IF($J45="高频跟进","今天在高频跟进窗口：头部SKU每日看；重点看高库存、高花费、断货风险和ACOS。",IF($J45="临近高频","高频窗口即将开始：今天先预查广告结构、关键词/ASIN、Listing埋词、库存承接和预算，避免临近节点再补。",IF($J45="大节气提前","大节气提前窗口：不要等高频当天再动；今天先锁定主推SKU、库存承接、Listing节日词、广告结构和预算上限，低相关/低库存产品不硬推。",IF($J45="二次排查","今天在二次排查窗口：补广告结构、关键词/ASIN、预算和Listing埋词。",IF($J45="临近二次","大节气二次排查即将开始：提前准备词/ASIN/图片/价格/促销，不等窗口当天才补结构。",IF($J45="一次排查","今天在一次排查窗口：先筛SKU，看历史动销、库存、利润和Listing匹配。",IF($J45="未到排查","暂不处理，等一次排查窗口。",IF($J45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45" s="42" t="n">
        <x:v>46134</x:v>
      </x:c>
      <x:c r="M45" s="42" t="n">
        <x:v>46134</x:v>
      </x:c>
      <x:c r="N45" s="42" t="n">
        <x:v>46074</x:v>
      </x:c>
      <x:c r="O45" s="42" t="n">
        <x:v>46089</x:v>
      </x:c>
      <x:c r="P45" s="42" t="n">
        <x:v>46104</x:v>
      </x:c>
      <x:c r="Q45" s="42" t="n">
        <x:v>46113</x:v>
      </x:c>
      <x:c r="R45" s="42" t="n">
        <x:v>46120</x:v>
      </x:c>
      <x:c r="S45" s="42" t="n">
        <x:v>46136</x:v>
      </x:c>
      <x:c r="T45" s="43" t="n">
        <x:f>$L45-'今日提醒'!$B$2</x:f>
        <x:v>-33</x:v>
      </x:c>
      <x:c r="U45" s="74" t="n">
        <x:f>IF(OR($J45="收尾下滑",$J45="节后清尾",$J45="节点当日",$J45="节点进行中",$J45="高频跟进",$J45="临近高频",$J45="大节气提前",$J45="二次排查",$J45="临近二次",$J45="一次排查"),IF($J45="收尾下滑",1,IF($J45="节后清尾",2,IF($J45="节点当日",3,IF($J45="节点进行中",4,IF($J45="高频跟进",5,IF($J45="临近高频",6,IF($J45="大节气提前",7,IF($J45="二次排查",8,IF($J45="临近二次",9,10)))))))))*100000+ROW(),99999999+ROW())</x:f>
        <x:v>100000044</x:v>
      </x:c>
      <x:c r="V45" s="15" t="str">
        <x:f>IF(OR($J45="收尾下滑",$J45="节后清尾"),"风险/止损",IF($J45="节点当日","机会/当日冲刺",IF($J45="节点进行中","机会/进行中",IF($J45="高频跟进","机会/高频",IF($J45="大节气提前","机会/大节气提前",IF(OR($J45="临近高频",$J45="临近二次",$J45="二次排查",$J45="一次排查"),"机会/预热","非今日"))))))</x:f>
        <x:v>非今日</x:v>
      </x:c>
      <x:c r="W45" s="15" t="str">
        <x:f>IF($J45="收尾下滑","控投/清尾/算留仓",IF($J45="节后清尾","节后降投/复盘",IF($J45="节点当日","当日冲刺/控尾流",IF($J45="节点进行中","转化监控/看趋势",IF($J45="高频跟进","放量+控ACOS",IF($J45="大节气提前","提前锁结构/预算",IF($J45="临近高频","预查结构/埋词",IF($J45="临近二次","提前补结构/埋词",IF($J45="二次排查","补结构/补词",IF($J45="一次排查","筛SKU/核库存","暂无"))))))))))</x:f>
        <x:v>暂无</x:v>
      </x:c>
      <x:c r="X45" s="15" t="str">
        <x:f>IF(AND('今日提醒'!$B$2&gt;=$L45,'今日提醒'!$B$2&lt;=$M45,$L45=$M45),"节点当日：不是预热",IF(AND('今日提醒'!$B$2&gt;=$L45,'今日提醒'!$B$2&lt;=$M45,'今日提醒'!$B$2&gt;$S45),"高频已结束但销售窗口未结束：疑似尾期/下滑",IF(AND('今日提醒'!$B$2&gt;$M45,'今日提醒'!$B$2&lt;=$S45),"节点已过但仍在清尾窗口",IF($J45="大节气提前","大节气高频前30天：提前进入主推准备",IF($J45="临近二次","大节气二次排查前14天：提前准备","")))))</x:f>
      </x:c>
    </x:row>
    <x:row r="46" ht="58" hidden="0" customHeight="1">
      <x:c r="A46" s="41" t="str">
        <x:v>Easter</x:v>
      </x:c>
      <x:c r="B46" s="41" t="str">
        <x:v>复活节</x:v>
      </x:c>
      <x:c r="C46" s="41" t="str">
        <x:v>美国春季核心节日，带动宗教、兔子、彩蛋、篮子、教堂礼品等需求。</x:v>
      </x:c>
      <x:c r="D46" s="41" t="str">
        <x:v>2026-04-05</x:v>
      </x:c>
      <x:c r="E46" s="41" t="str">
        <x:v>每年变动</x:v>
      </x:c>
      <x:c r="F46" s="41" t="str">
        <x:v>Easter basket fillers、Christian Easter gifts、兔子/鸡蛋装饰、教会礼品</x:v>
      </x:c>
      <x:c r="G46" s="41" t="str">
        <x:v>2025-12-06 ~ 2026-01-05：先看历史销量、库存/FBA承接、是否需要改Listing。</x:v>
      </x:c>
      <x:c r="H46" s="41" t="str">
        <x:v>2026-02-04 ~ 2026-02-19：广告结构、关键词/ASIN、标题主图必须基本到位。</x:v>
      </x:c>
      <x:c r="I46" s="41" t="str">
        <x:v>2026-03-15 ~ 2026-04-08：头部SKU每日看，过后及时降投/清尾。</x:v>
      </x:c>
      <x:c r="J46" s="41" t="str">
        <x:f>IF(AND('今日提醒'!$B$2&gt;=$L46,'今日提醒'!$B$2&lt;=$M46,$L46=$M46),"节点当日",IF(AND('今日提醒'!$B$2&gt;=$L46,'今日提醒'!$B$2&lt;=$M46,'今日提醒'!$B$2&gt;$S46),"收尾下滑",IF(AND('今日提醒'!$B$2&gt;=$L46,'今日提醒'!$B$2&lt;=$M46),"节点进行中",IF(AND('今日提醒'!$B$2&gt;$M46,'今日提醒'!$B$2&lt;=$S46),"节后清尾",IF(AND('今日提醒'!$B$2&gt;=$R46,'今日提醒'!$B$2&lt;=$S46),"高频跟进",IF(AND('今日提醒'!$B$2&gt;=($R46-14),'今日提醒'!$B$2&lt;$R46,'今日提醒'!$B$2&lt;$L46),"临近高频",IF(AND(OR($A46="Chinese New Year",$A46="Super Bowl",$A46="Valentine's Day",$A46="Valentine Week",$A46="St. Patrick's Day",$A46="Easter",$A46="Graduation Season",$A46="Prom Season",$A46="Teacher Appreciation Week",$A46="Mother's Day",$A46="Memorial Day",$A46="Father's Day",$A46="Independence Day",$A46="Back-to-School Season",$A46="Labor Day",$A46="Halloween",$A46="Thanksgiving",$A46="Black Friday / Cyber Monday",$A46="Christmas",$A46="New Year's Eve / New Year Season"),'今日提醒'!$B$2&gt;=($R46-30),'今日提醒'!$B$2&lt;$R46,'今日提醒'!$B$2&lt;$L46),"大节气提前",IF(AND('今日提醒'!$B$2&gt;=$P46,'今日提醒'!$B$2&lt;=$Q46),"二次排查",IF(AND(OR($A46="Chinese New Year",$A46="Super Bowl",$A46="Valentine's Day",$A46="Valentine Week",$A46="St. Patrick's Day",$A46="Easter",$A46="Graduation Season",$A46="Prom Season",$A46="Teacher Appreciation Week",$A46="Mother's Day",$A46="Memorial Day",$A46="Father's Day",$A46="Independence Day",$A46="Back-to-School Season",$A46="Labor Day",$A46="Halloween",$A46="Thanksgiving",$A46="Black Friday / Cyber Monday",$A46="Christmas",$A46="New Year's Eve / New Year Season"),'今日提醒'!$B$2&gt;=($P46-14),'今日提醒'!$B$2&lt;$P46,'今日提醒'!$B$2&lt;$L46),"临近二次",IF(AND('今日提醒'!$B$2&gt;=$N46,'今日提醒'!$B$2&lt;=$O46),"一次排查",IF('今日提醒'!$B$2&lt;$N46,"未到排查",IF('今日提醒'!$B$2&lt;$L46,"等待下一窗口","已过"))))))))))))</x:f>
        <x:v>已过</x:v>
      </x:c>
      <x:c r="K46" s="41" t="str">
        <x:f>IF($J46="收尾下滑","主购买/高频窗口已过，流量可能走弱：不要盲目加预算或新建组；优先看库存压力、ACOS、广告占比、自然单，仅保留高转化词，计算清货/留仓。",IF($J46="节后清尾","节点已过但仍在清尾窗口：控低效词、降无效预算，复盘转化词；库存重则算清货，库存轻则吃完尾流。",IF($J46="节点当日","今天就是节点当日：优先看转化、库存承接、广告花费和尾流风险；可以吃最后一波有效流量，但不要再大范围新建或盲目加预算。",IF($J46="节点进行中","当前在节点/销售窗口内：这是进行中，不是预热；重点看销量、库存承接、广告花费、转化和是否已出现流量下滑。",IF($J46="高频跟进","今天在高频跟进窗口：头部SKU每日看；重点看高库存、高花费、断货风险和ACOS。",IF($J46="临近高频","高频窗口即将开始：今天先预查广告结构、关键词/ASIN、Listing埋词、库存承接和预算，避免临近节点再补。",IF($J46="大节气提前","大节气提前窗口：不要等高频当天再动；今天先锁定主推SKU、库存承接、Listing节日词、广告结构和预算上限，低相关/低库存产品不硬推。",IF($J46="二次排查","今天在二次排查窗口：补广告结构、关键词/ASIN、预算和Listing埋词。",IF($J46="临近二次","大节气二次排查即将开始：提前准备词/ASIN/图片/价格/促销，不等窗口当天才补结构。",IF($J46="一次排查","今天在一次排查窗口：先筛SKU，看历史动销、库存、利润和Listing匹配。",IF($J46="未到排查","暂不处理，等一次排查窗口。",IF($J46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46" s="42" t="n">
        <x:v>46117</x:v>
      </x:c>
      <x:c r="M46" s="42" t="n">
        <x:v>46117</x:v>
      </x:c>
      <x:c r="N46" s="42" t="n">
        <x:v>45997</x:v>
      </x:c>
      <x:c r="O46" s="42" t="n">
        <x:v>46027</x:v>
      </x:c>
      <x:c r="P46" s="42" t="n">
        <x:v>46057</x:v>
      </x:c>
      <x:c r="Q46" s="42" t="n">
        <x:v>46072</x:v>
      </x:c>
      <x:c r="R46" s="42" t="n">
        <x:v>46096</x:v>
      </x:c>
      <x:c r="S46" s="42" t="n">
        <x:v>46120</x:v>
      </x:c>
      <x:c r="T46" s="43" t="n">
        <x:f>$L46-'今日提醒'!$B$2</x:f>
        <x:v>-50</x:v>
      </x:c>
      <x:c r="U46" s="74" t="n">
        <x:f>IF(OR($J46="收尾下滑",$J46="节后清尾",$J46="节点当日",$J46="节点进行中",$J46="高频跟进",$J46="临近高频",$J46="大节气提前",$J46="二次排查",$J46="临近二次",$J46="一次排查"),IF($J46="收尾下滑",1,IF($J46="节后清尾",2,IF($J46="节点当日",3,IF($J46="节点进行中",4,IF($J46="高频跟进",5,IF($J46="临近高频",6,IF($J46="大节气提前",7,IF($J46="二次排查",8,IF($J46="临近二次",9,10)))))))))*100000+ROW(),99999999+ROW())</x:f>
        <x:v>100000045</x:v>
      </x:c>
      <x:c r="V46" s="15" t="str">
        <x:f>IF(OR($J46="收尾下滑",$J46="节后清尾"),"风险/止损",IF($J46="节点当日","机会/当日冲刺",IF($J46="节点进行中","机会/进行中",IF($J46="高频跟进","机会/高频",IF($J46="大节气提前","机会/大节气提前",IF(OR($J46="临近高频",$J46="临近二次",$J46="二次排查",$J46="一次排查"),"机会/预热","非今日"))))))</x:f>
        <x:v>非今日</x:v>
      </x:c>
      <x:c r="W46" s="15" t="str">
        <x:f>IF($J46="收尾下滑","控投/清尾/算留仓",IF($J46="节后清尾","节后降投/复盘",IF($J46="节点当日","当日冲刺/控尾流",IF($J46="节点进行中","转化监控/看趋势",IF($J46="高频跟进","放量+控ACOS",IF($J46="大节气提前","提前锁结构/预算",IF($J46="临近高频","预查结构/埋词",IF($J46="临近二次","提前补结构/埋词",IF($J46="二次排查","补结构/补词",IF($J46="一次排查","筛SKU/核库存","暂无"))))))))))</x:f>
        <x:v>暂无</x:v>
      </x:c>
      <x:c r="X46" s="15" t="str">
        <x:f>IF(AND('今日提醒'!$B$2&gt;=$L46,'今日提醒'!$B$2&lt;=$M46,$L46=$M46),"节点当日：不是预热",IF(AND('今日提醒'!$B$2&gt;=$L46,'今日提醒'!$B$2&lt;=$M46,'今日提醒'!$B$2&gt;$S46),"高频已结束但销售窗口未结束：疑似尾期/下滑",IF(AND('今日提醒'!$B$2&gt;$M46,'今日提醒'!$B$2&lt;=$S46),"节点已过但仍在清尾窗口",IF($J46="大节气提前","大节气高频前30天：提前进入主推准备",IF($J46="临近二次","大节气二次排查前14天：提前准备","")))))</x:f>
      </x:c>
    </x:row>
    <x:row r="47" ht="58" hidden="0" customHeight="1">
      <x:c r="A47" s="41" t="str">
        <x:v>Passover</x:v>
      </x:c>
      <x:c r="B47" s="41" t="str">
        <x:v>逾越节</x:v>
      </x:c>
      <x:c r="C47" s="41" t="str">
        <x:v>犹太教重要节日，适合犹太文化礼品、餐桌用品和节日装饰。</x:v>
      </x:c>
      <x:c r="D47" s="41" t="str">
        <x:v>2026-04-01 ~ 2026-04-09</x:v>
      </x:c>
      <x:c r="E47" s="41" t="str">
        <x:v>每年变动：按2026年日落起止口径</x:v>
      </x:c>
      <x:c r="F47" s="41" t="str">
        <x:v>Passover礼品、Seder餐桌用品、犹太节日卡片/装饰</x:v>
      </x:c>
      <x:c r="G47" s="41" t="str">
        <x:v>2026-01-31 ~ 2026-02-15：先筛匹配SKU、历史销量、库存和利润空间。</x:v>
      </x:c>
      <x:c r="H47" s="41" t="str">
        <x:v>2026-03-02 ~ 2026-03-11：补关键词/ASIN、Listing埋词和广告预算。</x:v>
      </x:c>
      <x:c r="I47" s="41" t="str">
        <x:v>2026-03-18 ~ 2026-04-11：重点SKU每日看，普通SKU每2-3天看。</x:v>
      </x:c>
      <x:c r="J47" s="41" t="str">
        <x:f>IF(AND('今日提醒'!$B$2&gt;=$L47,'今日提醒'!$B$2&lt;=$M47,$L47=$M47),"节点当日",IF(AND('今日提醒'!$B$2&gt;=$L47,'今日提醒'!$B$2&lt;=$M47,'今日提醒'!$B$2&gt;$S47),"收尾下滑",IF(AND('今日提醒'!$B$2&gt;=$L47,'今日提醒'!$B$2&lt;=$M47),"节点进行中",IF(AND('今日提醒'!$B$2&gt;$M47,'今日提醒'!$B$2&lt;=$S47),"节后清尾",IF(AND('今日提醒'!$B$2&gt;=$R47,'今日提醒'!$B$2&lt;=$S47),"高频跟进",IF(AND('今日提醒'!$B$2&gt;=($R47-14),'今日提醒'!$B$2&lt;$R47,'今日提醒'!$B$2&lt;$L47),"临近高频",IF(AND(OR($A47="Chinese New Year",$A47="Super Bowl",$A47="Valentine's Day",$A47="Valentine Week",$A47="St. Patrick's Day",$A47="Easter",$A47="Graduation Season",$A47="Prom Season",$A47="Teacher Appreciation Week",$A47="Mother's Day",$A47="Memorial Day",$A47="Father's Day",$A47="Independence Day",$A47="Back-to-School Season",$A47="Labor Day",$A47="Halloween",$A47="Thanksgiving",$A47="Black Friday / Cyber Monday",$A47="Christmas",$A47="New Year's Eve / New Year Season"),'今日提醒'!$B$2&gt;=($R47-30),'今日提醒'!$B$2&lt;$R47,'今日提醒'!$B$2&lt;$L47),"大节气提前",IF(AND('今日提醒'!$B$2&gt;=$P47,'今日提醒'!$B$2&lt;=$Q47),"二次排查",IF(AND(OR($A47="Chinese New Year",$A47="Super Bowl",$A47="Valentine's Day",$A47="Valentine Week",$A47="St. Patrick's Day",$A47="Easter",$A47="Graduation Season",$A47="Prom Season",$A47="Teacher Appreciation Week",$A47="Mother's Day",$A47="Memorial Day",$A47="Father's Day",$A47="Independence Day",$A47="Back-to-School Season",$A47="Labor Day",$A47="Halloween",$A47="Thanksgiving",$A47="Black Friday / Cyber Monday",$A47="Christmas",$A47="New Year's Eve / New Year Season"),'今日提醒'!$B$2&gt;=($P47-14),'今日提醒'!$B$2&lt;$P47,'今日提醒'!$B$2&lt;$L47),"临近二次",IF(AND('今日提醒'!$B$2&gt;=$N47,'今日提醒'!$B$2&lt;=$O47),"一次排查",IF('今日提醒'!$B$2&lt;$N47,"未到排查",IF('今日提醒'!$B$2&lt;$L47,"等待下一窗口","已过"))))))))))))</x:f>
        <x:v>已过</x:v>
      </x:c>
      <x:c r="K47" s="41" t="str">
        <x:f>IF($J47="收尾下滑","主购买/高频窗口已过，流量可能走弱：不要盲目加预算或新建组；优先看库存压力、ACOS、广告占比、自然单，仅保留高转化词，计算清货/留仓。",IF($J47="节后清尾","节点已过但仍在清尾窗口：控低效词、降无效预算，复盘转化词；库存重则算清货，库存轻则吃完尾流。",IF($J47="节点当日","今天就是节点当日：优先看转化、库存承接、广告花费和尾流风险；可以吃最后一波有效流量，但不要再大范围新建或盲目加预算。",IF($J47="节点进行中","当前在节点/销售窗口内：这是进行中，不是预热；重点看销量、库存承接、广告花费、转化和是否已出现流量下滑。",IF($J47="高频跟进","今天在高频跟进窗口：头部SKU每日看；重点看高库存、高花费、断货风险和ACOS。",IF($J47="临近高频","高频窗口即将开始：今天先预查广告结构、关键词/ASIN、Listing埋词、库存承接和预算，避免临近节点再补。",IF($J47="大节气提前","大节气提前窗口：不要等高频当天再动；今天先锁定主推SKU、库存承接、Listing节日词、广告结构和预算上限，低相关/低库存产品不硬推。",IF($J47="二次排查","今天在二次排查窗口：补广告结构、关键词/ASIN、预算和Listing埋词。",IF($J47="临近二次","大节气二次排查即将开始：提前准备词/ASIN/图片/价格/促销，不等窗口当天才补结构。",IF($J47="一次排查","今天在一次排查窗口：先筛SKU，看历史动销、库存、利润和Listing匹配。",IF($J47="未到排查","暂不处理，等一次排查窗口。",IF($J47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47" s="42" t="n">
        <x:v>46113</x:v>
      </x:c>
      <x:c r="M47" s="42" t="n">
        <x:v>46121</x:v>
      </x:c>
      <x:c r="N47" s="42" t="n">
        <x:v>46053</x:v>
      </x:c>
      <x:c r="O47" s="42" t="n">
        <x:v>46068</x:v>
      </x:c>
      <x:c r="P47" s="42" t="n">
        <x:v>46083</x:v>
      </x:c>
      <x:c r="Q47" s="42" t="n">
        <x:v>46092</x:v>
      </x:c>
      <x:c r="R47" s="42" t="n">
        <x:v>46099</x:v>
      </x:c>
      <x:c r="S47" s="42" t="n">
        <x:v>46123</x:v>
      </x:c>
      <x:c r="T47" s="43" t="n">
        <x:f>$L47-'今日提醒'!$B$2</x:f>
        <x:v>-54</x:v>
      </x:c>
      <x:c r="U47" s="74" t="n">
        <x:f>IF(OR($J47="收尾下滑",$J47="节后清尾",$J47="节点当日",$J47="节点进行中",$J47="高频跟进",$J47="临近高频",$J47="大节气提前",$J47="二次排查",$J47="临近二次",$J47="一次排查"),IF($J47="收尾下滑",1,IF($J47="节后清尾",2,IF($J47="节点当日",3,IF($J47="节点进行中",4,IF($J47="高频跟进",5,IF($J47="临近高频",6,IF($J47="大节气提前",7,IF($J47="二次排查",8,IF($J47="临近二次",9,10)))))))))*100000+ROW(),99999999+ROW())</x:f>
        <x:v>100000046</x:v>
      </x:c>
      <x:c r="V47" s="15" t="str">
        <x:f>IF(OR($J47="收尾下滑",$J47="节后清尾"),"风险/止损",IF($J47="节点当日","机会/当日冲刺",IF($J47="节点进行中","机会/进行中",IF($J47="高频跟进","机会/高频",IF($J47="大节气提前","机会/大节气提前",IF(OR($J47="临近高频",$J47="临近二次",$J47="二次排查",$J47="一次排查"),"机会/预热","非今日"))))))</x:f>
        <x:v>非今日</x:v>
      </x:c>
      <x:c r="W47" s="15" t="str">
        <x:f>IF($J47="收尾下滑","控投/清尾/算留仓",IF($J47="节后清尾","节后降投/复盘",IF($J47="节点当日","当日冲刺/控尾流",IF($J47="节点进行中","转化监控/看趋势",IF($J47="高频跟进","放量+控ACOS",IF($J47="大节气提前","提前锁结构/预算",IF($J47="临近高频","预查结构/埋词",IF($J47="临近二次","提前补结构/埋词",IF($J47="二次排查","补结构/补词",IF($J47="一次排查","筛SKU/核库存","暂无"))))))))))</x:f>
        <x:v>暂无</x:v>
      </x:c>
      <x:c r="X47" s="15" t="str">
        <x:f>IF(AND('今日提醒'!$B$2&gt;=$L47,'今日提醒'!$B$2&lt;=$M47,$L47=$M47),"节点当日：不是预热",IF(AND('今日提醒'!$B$2&gt;=$L47,'今日提醒'!$B$2&lt;=$M47,'今日提醒'!$B$2&gt;$S47),"高频已结束但销售窗口未结束：疑似尾期/下滑",IF(AND('今日提醒'!$B$2&gt;$M47,'今日提醒'!$B$2&lt;=$S47),"节点已过但仍在清尾窗口",IF($J47="大节气提前","大节气高频前30天：提前进入主推准备",IF($J47="临近二次","大节气二次排查前14天：提前准备","")))))</x:f>
      </x:c>
    </x:row>
    <x:row r="48" ht="58" hidden="0" customHeight="1">
      <x:c r="A48" s="41" t="str">
        <x:v>Graduation Season</x:v>
      </x:c>
      <x:c r="B48" s="41" t="str">
        <x:v>毕业季</x:v>
      </x:c>
      <x:c r="C48" s="41" t="str">
        <x:v>毕业礼、老师礼、同学礼和party用品高峰，适合gift set和卡片类产品。</x:v>
      </x:c>
      <x:c r="D48" s="41" t="str">
        <x:v>2026-04-01 ~ 2026-06-15</x:v>
      </x:c>
      <x:c r="E48" s="41" t="str">
        <x:v>区间变动：按学校毕业季取常用窗口</x:v>
      </x:c>
      <x:c r="F48" s="41" t="str">
        <x:v>毕业礼、class of 2026、毕业钥匙扣/手链/卡片/书签</x:v>
      </x:c>
      <x:c r="G48" s="41" t="str">
        <x:v>2026-01-01 ~ 2026-01-15：看历史动销起点、库存承接、Listing是否匹配。</x:v>
      </x:c>
      <x:c r="H48" s="41" t="str">
        <x:v>2026-02-15 ~ 2026-03-01：完成关键词/ASIN/主图标题检查，低预算轻测。</x:v>
      </x:c>
      <x:c r="I48" s="41" t="str">
        <x:v>2026-03-18 ~ 2026-05-08：头部SKU每日看，普通SKU每周2次。</x:v>
      </x:c>
      <x:c r="J48" s="41" t="str">
        <x:f>IF(AND('今日提醒'!$B$2&gt;=$L48,'今日提醒'!$B$2&lt;=$M48,$L48=$M48),"节点当日",IF(AND('今日提醒'!$B$2&gt;=$L48,'今日提醒'!$B$2&lt;=$M48,'今日提醒'!$B$2&gt;$S48),"收尾下滑",IF(AND('今日提醒'!$B$2&gt;=$L48,'今日提醒'!$B$2&lt;=$M48),"节点进行中",IF(AND('今日提醒'!$B$2&gt;$M48,'今日提醒'!$B$2&lt;=$S48),"节后清尾",IF(AND('今日提醒'!$B$2&gt;=$R48,'今日提醒'!$B$2&lt;=$S48),"高频跟进",IF(AND('今日提醒'!$B$2&gt;=($R48-14),'今日提醒'!$B$2&lt;$R48,'今日提醒'!$B$2&lt;$L48),"临近高频",IF(AND(OR($A48="Chinese New Year",$A48="Super Bowl",$A48="Valentine's Day",$A48="Valentine Week",$A48="St. Patrick's Day",$A48="Easter",$A48="Graduation Season",$A48="Prom Season",$A48="Teacher Appreciation Week",$A48="Mother's Day",$A48="Memorial Day",$A48="Father's Day",$A48="Independence Day",$A48="Back-to-School Season",$A48="Labor Day",$A48="Halloween",$A48="Thanksgiving",$A48="Black Friday / Cyber Monday",$A48="Christmas",$A48="New Year's Eve / New Year Season"),'今日提醒'!$B$2&gt;=($R48-30),'今日提醒'!$B$2&lt;$R48,'今日提醒'!$B$2&lt;$L48),"大节气提前",IF(AND('今日提醒'!$B$2&gt;=$P48,'今日提醒'!$B$2&lt;=$Q48),"二次排查",IF(AND(OR($A48="Chinese New Year",$A48="Super Bowl",$A48="Valentine's Day",$A48="Valentine Week",$A48="St. Patrick's Day",$A48="Easter",$A48="Graduation Season",$A48="Prom Season",$A48="Teacher Appreciation Week",$A48="Mother's Day",$A48="Memorial Day",$A48="Father's Day",$A48="Independence Day",$A48="Back-to-School Season",$A48="Labor Day",$A48="Halloween",$A48="Thanksgiving",$A48="Black Friday / Cyber Monday",$A48="Christmas",$A48="New Year's Eve / New Year Season"),'今日提醒'!$B$2&gt;=($P48-14),'今日提醒'!$B$2&lt;$P48,'今日提醒'!$B$2&lt;$L48),"临近二次",IF(AND('今日提醒'!$B$2&gt;=$N48,'今日提醒'!$B$2&lt;=$O48),"一次排查",IF('今日提醒'!$B$2&lt;$N48,"未到排查",IF('今日提醒'!$B$2&lt;$L48,"等待下一窗口","已过"))))))))))))</x:f>
        <x:v>收尾下滑</x:v>
      </x:c>
      <x:c r="K48" s="41" t="str">
        <x:f>IF($J48="收尾下滑","主购买/高频窗口已过，流量可能走弱：不要盲目加预算或新建组；优先看库存压力、ACOS、广告占比、自然单，仅保留高转化词，计算清货/留仓。",IF($J48="节后清尾","节点已过但仍在清尾窗口：控低效词、降无效预算，复盘转化词；库存重则算清货，库存轻则吃完尾流。",IF($J48="节点当日","今天就是节点当日：优先看转化、库存承接、广告花费和尾流风险；可以吃最后一波有效流量，但不要再大范围新建或盲目加预算。",IF($J48="节点进行中","当前在节点/销售窗口内：这是进行中，不是预热；重点看销量、库存承接、广告花费、转化和是否已出现流量下滑。",IF($J48="高频跟进","今天在高频跟进窗口：头部SKU每日看；重点看高库存、高花费、断货风险和ACOS。",IF($J48="临近高频","高频窗口即将开始：今天先预查广告结构、关键词/ASIN、Listing埋词、库存承接和预算，避免临近节点再补。",IF($J48="大节气提前","大节气提前窗口：不要等高频当天再动；今天先锁定主推SKU、库存承接、Listing节日词、广告结构和预算上限，低相关/低库存产品不硬推。",IF($J48="二次排查","今天在二次排查窗口：补广告结构、关键词/ASIN、预算和Listing埋词。",IF($J48="临近二次","大节气二次排查即将开始：提前准备词/ASIN/图片/价格/促销，不等窗口当天才补结构。",IF($J48="一次排查","今天在一次排查窗口：先筛SKU，看历史动销、库存、利润和Listing匹配。",IF($J48="未到排查","暂不处理，等一次排查窗口。",IF($J48="等待下一窗口","暂不在排查窗口；等高频或节点开始，除非有库存/广告异常。","已过：复盘、降投、清尾或沉淀明年节点。"))))))))))))</x:f>
        <x:v>主购买/高频窗口已过，流量可能走弱：不要盲目加预算或新建组；优先看库存压力、ACOS、广告占比、自然单，仅保留高转化词，计算清货/留仓。</x:v>
      </x:c>
      <x:c r="L48" s="42" t="n">
        <x:v>46113</x:v>
      </x:c>
      <x:c r="M48" s="42" t="n">
        <x:v>46188</x:v>
      </x:c>
      <x:c r="N48" s="42" t="n">
        <x:v>46023</x:v>
      </x:c>
      <x:c r="O48" s="42" t="n">
        <x:v>46037</x:v>
      </x:c>
      <x:c r="P48" s="42" t="n">
        <x:v>46068</x:v>
      </x:c>
      <x:c r="Q48" s="42" t="n">
        <x:v>46082</x:v>
      </x:c>
      <x:c r="R48" s="42" t="n">
        <x:v>46099</x:v>
      </x:c>
      <x:c r="S48" s="42" t="n">
        <x:v>46150</x:v>
      </x:c>
      <x:c r="T48" s="43" t="n">
        <x:f>$L48-'今日提醒'!$B$2</x:f>
        <x:v>-54</x:v>
      </x:c>
      <x:c r="U48" s="74" t="n">
        <x:f>IF(OR($J48="收尾下滑",$J48="节后清尾",$J48="节点当日",$J48="节点进行中",$J48="高频跟进",$J48="临近高频",$J48="大节气提前",$J48="二次排查",$J48="临近二次",$J48="一次排查"),IF($J48="收尾下滑",1,IF($J48="节后清尾",2,IF($J48="节点当日",3,IF($J48="节点进行中",4,IF($J48="高频跟进",5,IF($J48="临近高频",6,IF($J48="大节气提前",7,IF($J48="二次排查",8,IF($J48="临近二次",9,10)))))))))*100000+ROW(),99999999+ROW())</x:f>
        <x:v>100048</x:v>
      </x:c>
      <x:c r="V48" s="15" t="str">
        <x:f>IF(OR($J48="收尾下滑",$J48="节后清尾"),"风险/止损",IF($J48="节点当日","机会/当日冲刺",IF($J48="节点进行中","机会/进行中",IF($J48="高频跟进","机会/高频",IF($J48="大节气提前","机会/大节气提前",IF(OR($J48="临近高频",$J48="临近二次",$J48="二次排查",$J48="一次排查"),"机会/预热","非今日"))))))</x:f>
        <x:v>风险/止损</x:v>
      </x:c>
      <x:c r="W48" s="15" t="str">
        <x:f>IF($J48="收尾下滑","控投/清尾/算留仓",IF($J48="节后清尾","节后降投/复盘",IF($J48="节点当日","当日冲刺/控尾流",IF($J48="节点进行中","转化监控/看趋势",IF($J48="高频跟进","放量+控ACOS",IF($J48="大节气提前","提前锁结构/预算",IF($J48="临近高频","预查结构/埋词",IF($J48="临近二次","提前补结构/埋词",IF($J48="二次排查","补结构/补词",IF($J48="一次排查","筛SKU/核库存","暂无"))))))))))</x:f>
        <x:v>控投/清尾/算留仓</x:v>
      </x:c>
      <x:c r="X48" s="15" t="str">
        <x:f>IF(AND('今日提醒'!$B$2&gt;=$L48,'今日提醒'!$B$2&lt;=$M48,$L48=$M48),"节点当日：不是预热",IF(AND('今日提醒'!$B$2&gt;=$L48,'今日提醒'!$B$2&lt;=$M48,'今日提醒'!$B$2&gt;$S48),"高频已结束但销售窗口未结束：疑似尾期/下滑",IF(AND('今日提醒'!$B$2&gt;$M48,'今日提醒'!$B$2&lt;=$S48),"节点已过但仍在清尾窗口",IF($J48="大节气提前","大节气高频前30天：提前进入主推准备",IF($J48="临近二次","大节气二次排查前14天：提前准备","")))))</x:f>
        <x:v>高频已结束但销售窗口未结束：疑似尾期/下滑</x:v>
      </x:c>
    </x:row>
    <x:row r="49" ht="58" hidden="0" customHeight="1">
      <x:c r="A49" s="41" t="str">
        <x:v>Prom Season</x:v>
      </x:c>
      <x:c r="B49" s="41" t="str">
        <x:v>毕业舞会季</x:v>
      </x:c>
      <x:c r="C49" s="41" t="str">
        <x:v>高中毕业舞会相关装饰、饰品、纪念品需求窗口。</x:v>
      </x:c>
      <x:c r="D49" s="41" t="str">
        <x:v>2026-03-01 ~ 2026-05-31</x:v>
      </x:c>
      <x:c r="E49" s="41" t="str">
        <x:v>区间变动：按学校舞会季取常用窗口</x:v>
      </x:c>
      <x:c r="F49" s="41" t="str">
        <x:v>毕业礼、class of 2026、毕业钥匙扣/手链/卡片/书签</x:v>
      </x:c>
      <x:c r="G49" s="41" t="str">
        <x:v>2025-12-01 ~ 2025-12-15：看历史动销起点、库存承接、Listing是否匹配。</x:v>
      </x:c>
      <x:c r="H49" s="41" t="str">
        <x:v>2026-01-15 ~ 2026-01-29：完成关键词/ASIN/主图标题检查，低预算轻测。</x:v>
      </x:c>
      <x:c r="I49" s="41" t="str">
        <x:v>2026-02-15 ~ 2026-04-15：头部SKU每日看，普通SKU每周2次。</x:v>
      </x:c>
      <x:c r="J49" s="41" t="str">
        <x:f>IF(AND('今日提醒'!$B$2&gt;=$L49,'今日提醒'!$B$2&lt;=$M49,$L49=$M49),"节点当日",IF(AND('今日提醒'!$B$2&gt;=$L49,'今日提醒'!$B$2&lt;=$M49,'今日提醒'!$B$2&gt;$S49),"收尾下滑",IF(AND('今日提醒'!$B$2&gt;=$L49,'今日提醒'!$B$2&lt;=$M49),"节点进行中",IF(AND('今日提醒'!$B$2&gt;$M49,'今日提醒'!$B$2&lt;=$S49),"节后清尾",IF(AND('今日提醒'!$B$2&gt;=$R49,'今日提醒'!$B$2&lt;=$S49),"高频跟进",IF(AND('今日提醒'!$B$2&gt;=($R49-14),'今日提醒'!$B$2&lt;$R49,'今日提醒'!$B$2&lt;$L49),"临近高频",IF(AND(OR($A49="Chinese New Year",$A49="Super Bowl",$A49="Valentine's Day",$A49="Valentine Week",$A49="St. Patrick's Day",$A49="Easter",$A49="Graduation Season",$A49="Prom Season",$A49="Teacher Appreciation Week",$A49="Mother's Day",$A49="Memorial Day",$A49="Father's Day",$A49="Independence Day",$A49="Back-to-School Season",$A49="Labor Day",$A49="Halloween",$A49="Thanksgiving",$A49="Black Friday / Cyber Monday",$A49="Christmas",$A49="New Year's Eve / New Year Season"),'今日提醒'!$B$2&gt;=($R49-30),'今日提醒'!$B$2&lt;$R49,'今日提醒'!$B$2&lt;$L49),"大节气提前",IF(AND('今日提醒'!$B$2&gt;=$P49,'今日提醒'!$B$2&lt;=$Q49),"二次排查",IF(AND(OR($A49="Chinese New Year",$A49="Super Bowl",$A49="Valentine's Day",$A49="Valentine Week",$A49="St. Patrick's Day",$A49="Easter",$A49="Graduation Season",$A49="Prom Season",$A49="Teacher Appreciation Week",$A49="Mother's Day",$A49="Memorial Day",$A49="Father's Day",$A49="Independence Day",$A49="Back-to-School Season",$A49="Labor Day",$A49="Halloween",$A49="Thanksgiving",$A49="Black Friday / Cyber Monday",$A49="Christmas",$A49="New Year's Eve / New Year Season"),'今日提醒'!$B$2&gt;=($P49-14),'今日提醒'!$B$2&lt;$P49,'今日提醒'!$B$2&lt;$L49),"临近二次",IF(AND('今日提醒'!$B$2&gt;=$N49,'今日提醒'!$B$2&lt;=$O49),"一次排查",IF('今日提醒'!$B$2&lt;$N49,"未到排查",IF('今日提醒'!$B$2&lt;$L49,"等待下一窗口","已过"))))))))))))</x:f>
        <x:v>收尾下滑</x:v>
      </x:c>
      <x:c r="K49" s="41" t="str">
        <x:f>IF($J49="收尾下滑","主购买/高频窗口已过，流量可能走弱：不要盲目加预算或新建组；优先看库存压力、ACOS、广告占比、自然单，仅保留高转化词，计算清货/留仓。",IF($J49="节后清尾","节点已过但仍在清尾窗口：控低效词、降无效预算，复盘转化词；库存重则算清货，库存轻则吃完尾流。",IF($J49="节点当日","今天就是节点当日：优先看转化、库存承接、广告花费和尾流风险；可以吃最后一波有效流量，但不要再大范围新建或盲目加预算。",IF($J49="节点进行中","当前在节点/销售窗口内：这是进行中，不是预热；重点看销量、库存承接、广告花费、转化和是否已出现流量下滑。",IF($J49="高频跟进","今天在高频跟进窗口：头部SKU每日看；重点看高库存、高花费、断货风险和ACOS。",IF($J49="临近高频","高频窗口即将开始：今天先预查广告结构、关键词/ASIN、Listing埋词、库存承接和预算，避免临近节点再补。",IF($J49="大节气提前","大节气提前窗口：不要等高频当天再动；今天先锁定主推SKU、库存承接、Listing节日词、广告结构和预算上限，低相关/低库存产品不硬推。",IF($J49="二次排查","今天在二次排查窗口：补广告结构、关键词/ASIN、预算和Listing埋词。",IF($J49="临近二次","大节气二次排查即将开始：提前准备词/ASIN/图片/价格/促销，不等窗口当天才补结构。",IF($J49="一次排查","今天在一次排查窗口：先筛SKU，看历史动销、库存、利润和Listing匹配。",IF($J49="未到排查","暂不处理，等一次排查窗口。",IF($J49="等待下一窗口","暂不在排查窗口；等高频或节点开始，除非有库存/广告异常。","已过：复盘、降投、清尾或沉淀明年节点。"))))))))))))</x:f>
        <x:v>主购买/高频窗口已过，流量可能走弱：不要盲目加预算或新建组；优先看库存压力、ACOS、广告占比、自然单，仅保留高转化词，计算清货/留仓。</x:v>
      </x:c>
      <x:c r="L49" s="42" t="n">
        <x:v>46082</x:v>
      </x:c>
      <x:c r="M49" s="42" t="n">
        <x:v>46173</x:v>
      </x:c>
      <x:c r="N49" s="42" t="n">
        <x:v>45992</x:v>
      </x:c>
      <x:c r="O49" s="42" t="n">
        <x:v>46006</x:v>
      </x:c>
      <x:c r="P49" s="42" t="n">
        <x:v>46037</x:v>
      </x:c>
      <x:c r="Q49" s="42" t="n">
        <x:v>46051</x:v>
      </x:c>
      <x:c r="R49" s="42" t="n">
        <x:v>46068</x:v>
      </x:c>
      <x:c r="S49" s="42" t="n">
        <x:v>46127</x:v>
      </x:c>
      <x:c r="T49" s="43" t="n">
        <x:f>$L49-'今日提醒'!$B$2</x:f>
        <x:v>-85</x:v>
      </x:c>
      <x:c r="U49" s="74" t="n">
        <x:f>IF(OR($J49="收尾下滑",$J49="节后清尾",$J49="节点当日",$J49="节点进行中",$J49="高频跟进",$J49="临近高频",$J49="大节气提前",$J49="二次排查",$J49="临近二次",$J49="一次排查"),IF($J49="收尾下滑",1,IF($J49="节后清尾",2,IF($J49="节点当日",3,IF($J49="节点进行中",4,IF($J49="高频跟进",5,IF($J49="临近高频",6,IF($J49="大节气提前",7,IF($J49="二次排查",8,IF($J49="临近二次",9,10)))))))))*100000+ROW(),99999999+ROW())</x:f>
        <x:v>100049</x:v>
      </x:c>
      <x:c r="V49" s="15" t="str">
        <x:f>IF(OR($J49="收尾下滑",$J49="节后清尾"),"风险/止损",IF($J49="节点当日","机会/当日冲刺",IF($J49="节点进行中","机会/进行中",IF($J49="高频跟进","机会/高频",IF($J49="大节气提前","机会/大节气提前",IF(OR($J49="临近高频",$J49="临近二次",$J49="二次排查",$J49="一次排查"),"机会/预热","非今日"))))))</x:f>
        <x:v>风险/止损</x:v>
      </x:c>
      <x:c r="W49" s="15" t="str">
        <x:f>IF($J49="收尾下滑","控投/清尾/算留仓",IF($J49="节后清尾","节后降投/复盘",IF($J49="节点当日","当日冲刺/控尾流",IF($J49="节点进行中","转化监控/看趋势",IF($J49="高频跟进","放量+控ACOS",IF($J49="大节气提前","提前锁结构/预算",IF($J49="临近高频","预查结构/埋词",IF($J49="临近二次","提前补结构/埋词",IF($J49="二次排查","补结构/补词",IF($J49="一次排查","筛SKU/核库存","暂无"))))))))))</x:f>
        <x:v>控投/清尾/算留仓</x:v>
      </x:c>
      <x:c r="X49" s="15" t="str">
        <x:f>IF(AND('今日提醒'!$B$2&gt;=$L49,'今日提醒'!$B$2&lt;=$M49,$L49=$M49),"节点当日：不是预热",IF(AND('今日提醒'!$B$2&gt;=$L49,'今日提醒'!$B$2&lt;=$M49,'今日提醒'!$B$2&gt;$S49),"高频已结束但销售窗口未结束：疑似尾期/下滑",IF(AND('今日提醒'!$B$2&gt;$M49,'今日提醒'!$B$2&lt;=$S49),"节点已过但仍在清尾窗口",IF($J49="大节气提前","大节气高频前30天：提前进入主推准备",IF($J49="临近二次","大节气二次排查前14天：提前准备","")))))</x:f>
        <x:v>高频已结束但销售窗口未结束：疑似尾期/下滑</x:v>
      </x:c>
    </x:row>
    <x:row r="50" ht="58" hidden="0" customHeight="1">
      <x:c r="A50" s="41" t="str">
        <x:v>Mental Health Awareness Month</x:v>
      </x:c>
      <x:c r="B50" s="41" t="str">
        <x:v>心理健康意识月</x:v>
      </x:c>
      <x:c r="C50" s="41" t="str">
        <x:v>关注心理健康与情绪支持，适合支持类礼品、affirmation、comfort主题。</x:v>
      </x:c>
      <x:c r="D50" s="41" t="str">
        <x:v>2026-05-01 ~ 2026-05-31</x:v>
      </x:c>
      <x:c r="E50" s="41" t="str">
        <x:v>固定月份</x:v>
      </x:c>
      <x:c r="F50" s="41" t="str">
        <x:v>意识/支持类产品：丝带、手链、鼓励卡、贴纸；敏感节点商业化要克制</x:v>
      </x:c>
      <x:c r="G50" s="41" t="str">
        <x:v>2026-01-31 ~ 2026-02-15：先确认产品真实匹配，避免硬蹭敏感议题。</x:v>
      </x:c>
      <x:c r="H50" s="41" t="str">
        <x:v>2026-03-17 ~ 2026-03-27：检查图片/文案/关键词是否克制且合规。</x:v>
      </x:c>
      <x:c r="I50" s="41" t="str">
        <x:v>2026-04-17 ~ 2026-05-16：每2-3天看；表现差或表达风险高就停。</x:v>
      </x:c>
      <x:c r="J50" s="41" t="str">
        <x:f>IF(AND('今日提醒'!$B$2&gt;=$L50,'今日提醒'!$B$2&lt;=$M50,$L50=$M50),"节点当日",IF(AND('今日提醒'!$B$2&gt;=$L50,'今日提醒'!$B$2&lt;=$M50,'今日提醒'!$B$2&gt;$S50),"收尾下滑",IF(AND('今日提醒'!$B$2&gt;=$L50,'今日提醒'!$B$2&lt;=$M50),"节点进行中",IF(AND('今日提醒'!$B$2&gt;$M50,'今日提醒'!$B$2&lt;=$S50),"节后清尾",IF(AND('今日提醒'!$B$2&gt;=$R50,'今日提醒'!$B$2&lt;=$S50),"高频跟进",IF(AND('今日提醒'!$B$2&gt;=($R50-14),'今日提醒'!$B$2&lt;$R50,'今日提醒'!$B$2&lt;$L50),"临近高频",IF(AND(OR($A50="Chinese New Year",$A50="Super Bowl",$A50="Valentine's Day",$A50="Valentine Week",$A50="St. Patrick's Day",$A50="Easter",$A50="Graduation Season",$A50="Prom Season",$A50="Teacher Appreciation Week",$A50="Mother's Day",$A50="Memorial Day",$A50="Father's Day",$A50="Independence Day",$A50="Back-to-School Season",$A50="Labor Day",$A50="Halloween",$A50="Thanksgiving",$A50="Black Friday / Cyber Monday",$A50="Christmas",$A50="New Year's Eve / New Year Season"),'今日提醒'!$B$2&gt;=($R50-30),'今日提醒'!$B$2&lt;$R50,'今日提醒'!$B$2&lt;$L50),"大节气提前",IF(AND('今日提醒'!$B$2&gt;=$P50,'今日提醒'!$B$2&lt;=$Q50),"二次排查",IF(AND(OR($A50="Chinese New Year",$A50="Super Bowl",$A50="Valentine's Day",$A50="Valentine Week",$A50="St. Patrick's Day",$A50="Easter",$A50="Graduation Season",$A50="Prom Season",$A50="Teacher Appreciation Week",$A50="Mother's Day",$A50="Memorial Day",$A50="Father's Day",$A50="Independence Day",$A50="Back-to-School Season",$A50="Labor Day",$A50="Halloween",$A50="Thanksgiving",$A50="Black Friday / Cyber Monday",$A50="Christmas",$A50="New Year's Eve / New Year Season"),'今日提醒'!$B$2&gt;=($P50-14),'今日提醒'!$B$2&lt;$P50,'今日提醒'!$B$2&lt;$L50),"临近二次",IF(AND('今日提醒'!$B$2&gt;=$N50,'今日提醒'!$B$2&lt;=$O50),"一次排查",IF('今日提醒'!$B$2&lt;$N50,"未到排查",IF('今日提醒'!$B$2&lt;$L50,"等待下一窗口","已过"))))))))))))</x:f>
        <x:v>收尾下滑</x:v>
      </x:c>
      <x:c r="K50" s="41" t="str">
        <x:f>IF($J50="收尾下滑","主购买/高频窗口已过，流量可能走弱：不要盲目加预算或新建组；优先看库存压力、ACOS、广告占比、自然单，仅保留高转化词，计算清货/留仓。",IF($J50="节后清尾","节点已过但仍在清尾窗口：控低效词、降无效预算，复盘转化词；库存重则算清货，库存轻则吃完尾流。",IF($J50="节点当日","今天就是节点当日：优先看转化、库存承接、广告花费和尾流风险；可以吃最后一波有效流量，但不要再大范围新建或盲目加预算。",IF($J50="节点进行中","当前在节点/销售窗口内：这是进行中，不是预热；重点看销量、库存承接、广告花费、转化和是否已出现流量下滑。",IF($J50="高频跟进","今天在高频跟进窗口：头部SKU每日看；重点看高库存、高花费、断货风险和ACOS。",IF($J50="临近高频","高频窗口即将开始：今天先预查广告结构、关键词/ASIN、Listing埋词、库存承接和预算，避免临近节点再补。",IF($J50="大节气提前","大节气提前窗口：不要等高频当天再动；今天先锁定主推SKU、库存承接、Listing节日词、广告结构和预算上限，低相关/低库存产品不硬推。",IF($J50="二次排查","今天在二次排查窗口：补广告结构、关键词/ASIN、预算和Listing埋词。",IF($J50="临近二次","大节气二次排查即将开始：提前准备词/ASIN/图片/价格/促销，不等窗口当天才补结构。",IF($J50="一次排查","今天在一次排查窗口：先筛SKU，看历史动销、库存、利润和Listing匹配。",IF($J50="未到排查","暂不处理，等一次排查窗口。",IF($J50="等待下一窗口","暂不在排查窗口；等高频或节点开始，除非有库存/广告异常。","已过：复盘、降投、清尾或沉淀明年节点。"))))))))))))</x:f>
        <x:v>主购买/高频窗口已过，流量可能走弱：不要盲目加预算或新建组；优先看库存压力、ACOS、广告占比、自然单，仅保留高转化词，计算清货/留仓。</x:v>
      </x:c>
      <x:c r="L50" s="42" t="n">
        <x:v>46143</x:v>
      </x:c>
      <x:c r="M50" s="42" t="n">
        <x:v>46173</x:v>
      </x:c>
      <x:c r="N50" s="42" t="n">
        <x:v>46053</x:v>
      </x:c>
      <x:c r="O50" s="42" t="n">
        <x:v>46068</x:v>
      </x:c>
      <x:c r="P50" s="42" t="n">
        <x:v>46098</x:v>
      </x:c>
      <x:c r="Q50" s="42" t="n">
        <x:v>46108</x:v>
      </x:c>
      <x:c r="R50" s="42" t="n">
        <x:v>46129</x:v>
      </x:c>
      <x:c r="S50" s="42" t="n">
        <x:v>46158</x:v>
      </x:c>
      <x:c r="T50" s="43" t="n">
        <x:f>$L50-'今日提醒'!$B$2</x:f>
        <x:v>-24</x:v>
      </x:c>
      <x:c r="U50" s="74" t="n">
        <x:f>IF(OR($J50="收尾下滑",$J50="节后清尾",$J50="节点当日",$J50="节点进行中",$J50="高频跟进",$J50="临近高频",$J50="大节气提前",$J50="二次排查",$J50="临近二次",$J50="一次排查"),IF($J50="收尾下滑",1,IF($J50="节后清尾",2,IF($J50="节点当日",3,IF($J50="节点进行中",4,IF($J50="高频跟进",5,IF($J50="临近高频",6,IF($J50="大节气提前",7,IF($J50="二次排查",8,IF($J50="临近二次",9,10)))))))))*100000+ROW(),99999999+ROW())</x:f>
        <x:v>100050</x:v>
      </x:c>
      <x:c r="V50" s="15" t="str">
        <x:f>IF(OR($J50="收尾下滑",$J50="节后清尾"),"风险/止损",IF($J50="节点当日","机会/当日冲刺",IF($J50="节点进行中","机会/进行中",IF($J50="高频跟进","机会/高频",IF($J50="大节气提前","机会/大节气提前",IF(OR($J50="临近高频",$J50="临近二次",$J50="二次排查",$J50="一次排查"),"机会/预热","非今日"))))))</x:f>
        <x:v>风险/止损</x:v>
      </x:c>
      <x:c r="W50" s="15" t="str">
        <x:f>IF($J50="收尾下滑","控投/清尾/算留仓",IF($J50="节后清尾","节后降投/复盘",IF($J50="节点当日","当日冲刺/控尾流",IF($J50="节点进行中","转化监控/看趋势",IF($J50="高频跟进","放量+控ACOS",IF($J50="大节气提前","提前锁结构/预算",IF($J50="临近高频","预查结构/埋词",IF($J50="临近二次","提前补结构/埋词",IF($J50="二次排查","补结构/补词",IF($J50="一次排查","筛SKU/核库存","暂无"))))))))))</x:f>
        <x:v>控投/清尾/算留仓</x:v>
      </x:c>
      <x:c r="X50" s="15" t="str">
        <x:f>IF(AND('今日提醒'!$B$2&gt;=$L50,'今日提醒'!$B$2&lt;=$M50,$L50=$M50),"节点当日：不是预热",IF(AND('今日提醒'!$B$2&gt;=$L50,'今日提醒'!$B$2&lt;=$M50,'今日提醒'!$B$2&gt;$S50),"高频已结束但销售窗口未结束：疑似尾期/下滑",IF(AND('今日提醒'!$B$2&gt;$M50,'今日提醒'!$B$2&lt;=$S50),"节点已过但仍在清尾窗口",IF($J50="大节气提前","大节气高频前30天：提前进入主推准备",IF($J50="临近二次","大节气二次排查前14天：提前准备","")))))</x:f>
        <x:v>高频已结束但销售窗口未结束：疑似尾期/下滑</x:v>
      </x:c>
    </x:row>
    <x:row r="51" ht="58" hidden="0" customHeight="1">
      <x:c r="A51" s="41" t="str">
        <x:v>National Speech-Language-Hearing Month</x:v>
      </x:c>
      <x:c r="B51" s="41" t="str">
        <x:v>言语语言听力月</x:v>
      </x:c>
      <x:c r="C51" s="41" t="str">
        <x:v>关注语言、听力、沟通障碍及相关专业人员，适合SLP/audiologist礼品。</x:v>
      </x:c>
      <x:c r="D51" s="41" t="str">
        <x:v>2026-05-01 ~ 2026-05-31</x:v>
      </x:c>
      <x:c r="E51" s="41" t="str">
        <x:v>固定月份</x:v>
      </x:c>
      <x:c r="F51" s="41" t="str">
        <x:v>SLP/audiologist gifts、speech therapy感谢礼、办公室小礼</x:v>
      </x:c>
      <x:c r="G51" s="41" t="str">
        <x:v>2026-01-31 ~ 2026-02-15：筛对应SKU、查历史销量/库存/利润空间。</x:v>
      </x:c>
      <x:c r="H51" s="41" t="str">
        <x:v>2026-03-17 ~ 2026-03-27：补广告结构、关键词和Listing埋词。</x:v>
      </x:c>
      <x:c r="I51" s="41" t="str">
        <x:v>2026-04-17 ~ 2026-04-24：重点SKU每日或隔日看，长尾每周2次。</x:v>
      </x:c>
      <x:c r="J51" s="41" t="str">
        <x:f>IF(AND('今日提醒'!$B$2&gt;=$L51,'今日提醒'!$B$2&lt;=$M51,$L51=$M51),"节点当日",IF(AND('今日提醒'!$B$2&gt;=$L51,'今日提醒'!$B$2&lt;=$M51,'今日提醒'!$B$2&gt;$S51),"收尾下滑",IF(AND('今日提醒'!$B$2&gt;=$L51,'今日提醒'!$B$2&lt;=$M51),"节点进行中",IF(AND('今日提醒'!$B$2&gt;$M51,'今日提醒'!$B$2&lt;=$S51),"节后清尾",IF(AND('今日提醒'!$B$2&gt;=$R51,'今日提醒'!$B$2&lt;=$S51),"高频跟进",IF(AND('今日提醒'!$B$2&gt;=($R51-14),'今日提醒'!$B$2&lt;$R51,'今日提醒'!$B$2&lt;$L51),"临近高频",IF(AND(OR($A51="Chinese New Year",$A51="Super Bowl",$A51="Valentine's Day",$A51="Valentine Week",$A51="St. Patrick's Day",$A51="Easter",$A51="Graduation Season",$A51="Prom Season",$A51="Teacher Appreciation Week",$A51="Mother's Day",$A51="Memorial Day",$A51="Father's Day",$A51="Independence Day",$A51="Back-to-School Season",$A51="Labor Day",$A51="Halloween",$A51="Thanksgiving",$A51="Black Friday / Cyber Monday",$A51="Christmas",$A51="New Year's Eve / New Year Season"),'今日提醒'!$B$2&gt;=($R51-30),'今日提醒'!$B$2&lt;$R51,'今日提醒'!$B$2&lt;$L51),"大节气提前",IF(AND('今日提醒'!$B$2&gt;=$P51,'今日提醒'!$B$2&lt;=$Q51),"二次排查",IF(AND(OR($A51="Chinese New Year",$A51="Super Bowl",$A51="Valentine's Day",$A51="Valentine Week",$A51="St. Patrick's Day",$A51="Easter",$A51="Graduation Season",$A51="Prom Season",$A51="Teacher Appreciation Week",$A51="Mother's Day",$A51="Memorial Day",$A51="Father's Day",$A51="Independence Day",$A51="Back-to-School Season",$A51="Labor Day",$A51="Halloween",$A51="Thanksgiving",$A51="Black Friday / Cyber Monday",$A51="Christmas",$A51="New Year's Eve / New Year Season"),'今日提醒'!$B$2&gt;=($P51-14),'今日提醒'!$B$2&lt;$P51,'今日提醒'!$B$2&lt;$L51),"临近二次",IF(AND('今日提醒'!$B$2&gt;=$N51,'今日提醒'!$B$2&lt;=$O51),"一次排查",IF('今日提醒'!$B$2&lt;$N51,"未到排查",IF('今日提醒'!$B$2&lt;$L51,"等待下一窗口","已过"))))))))))))</x:f>
        <x:v>收尾下滑</x:v>
      </x:c>
      <x:c r="K51" s="41" t="str">
        <x:f>IF($J51="收尾下滑","主购买/高频窗口已过，流量可能走弱：不要盲目加预算或新建组；优先看库存压力、ACOS、广告占比、自然单，仅保留高转化词，计算清货/留仓。",IF($J51="节后清尾","节点已过但仍在清尾窗口：控低效词、降无效预算，复盘转化词；库存重则算清货，库存轻则吃完尾流。",IF($J51="节点当日","今天就是节点当日：优先看转化、库存承接、广告花费和尾流风险；可以吃最后一波有效流量，但不要再大范围新建或盲目加预算。",IF($J51="节点进行中","当前在节点/销售窗口内：这是进行中，不是预热；重点看销量、库存承接、广告花费、转化和是否已出现流量下滑。",IF($J51="高频跟进","今天在高频跟进窗口：头部SKU每日看；重点看高库存、高花费、断货风险和ACOS。",IF($J51="临近高频","高频窗口即将开始：今天先预查广告结构、关键词/ASIN、Listing埋词、库存承接和预算，避免临近节点再补。",IF($J51="大节气提前","大节气提前窗口：不要等高频当天再动；今天先锁定主推SKU、库存承接、Listing节日词、广告结构和预算上限，低相关/低库存产品不硬推。",IF($J51="二次排查","今天在二次排查窗口：补广告结构、关键词/ASIN、预算和Listing埋词。",IF($J51="临近二次","大节气二次排查即将开始：提前准备词/ASIN/图片/价格/促销，不等窗口当天才补结构。",IF($J51="一次排查","今天在一次排查窗口：先筛SKU，看历史动销、库存、利润和Listing匹配。",IF($J51="未到排查","暂不处理，等一次排查窗口。",IF($J51="等待下一窗口","暂不在排查窗口；等高频或节点开始，除非有库存/广告异常。","已过：复盘、降投、清尾或沉淀明年节点。"))))))))))))</x:f>
        <x:v>主购买/高频窗口已过，流量可能走弱：不要盲目加预算或新建组；优先看库存压力、ACOS、广告占比、自然单，仅保留高转化词，计算清货/留仓。</x:v>
      </x:c>
      <x:c r="L51" s="42" t="n">
        <x:v>46143</x:v>
      </x:c>
      <x:c r="M51" s="42" t="n">
        <x:v>46173</x:v>
      </x:c>
      <x:c r="N51" s="42" t="n">
        <x:v>46053</x:v>
      </x:c>
      <x:c r="O51" s="42" t="n">
        <x:v>46068</x:v>
      </x:c>
      <x:c r="P51" s="42" t="n">
        <x:v>46098</x:v>
      </x:c>
      <x:c r="Q51" s="42" t="n">
        <x:v>46108</x:v>
      </x:c>
      <x:c r="R51" s="42" t="n">
        <x:v>46129</x:v>
      </x:c>
      <x:c r="S51" s="42" t="n">
        <x:v>46136</x:v>
      </x:c>
      <x:c r="T51" s="43" t="n">
        <x:f>$L51-'今日提醒'!$B$2</x:f>
        <x:v>-24</x:v>
      </x:c>
      <x:c r="U51" s="74" t="n">
        <x:f>IF(OR($J51="收尾下滑",$J51="节后清尾",$J51="节点当日",$J51="节点进行中",$J51="高频跟进",$J51="临近高频",$J51="大节气提前",$J51="二次排查",$J51="临近二次",$J51="一次排查"),IF($J51="收尾下滑",1,IF($J51="节后清尾",2,IF($J51="节点当日",3,IF($J51="节点进行中",4,IF($J51="高频跟进",5,IF($J51="临近高频",6,IF($J51="大节气提前",7,IF($J51="二次排查",8,IF($J51="临近二次",9,10)))))))))*100000+ROW(),99999999+ROW())</x:f>
        <x:v>100051</x:v>
      </x:c>
      <x:c r="V51" s="15" t="str">
        <x:f>IF(OR($J51="收尾下滑",$J51="节后清尾"),"风险/止损",IF($J51="节点当日","机会/当日冲刺",IF($J51="节点进行中","机会/进行中",IF($J51="高频跟进","机会/高频",IF($J51="大节气提前","机会/大节气提前",IF(OR($J51="临近高频",$J51="临近二次",$J51="二次排查",$J51="一次排查"),"机会/预热","非今日"))))))</x:f>
        <x:v>风险/止损</x:v>
      </x:c>
      <x:c r="W51" s="15" t="str">
        <x:f>IF($J51="收尾下滑","控投/清尾/算留仓",IF($J51="节后清尾","节后降投/复盘",IF($J51="节点当日","当日冲刺/控尾流",IF($J51="节点进行中","转化监控/看趋势",IF($J51="高频跟进","放量+控ACOS",IF($J51="大节气提前","提前锁结构/预算",IF($J51="临近高频","预查结构/埋词",IF($J51="临近二次","提前补结构/埋词",IF($J51="二次排查","补结构/补词",IF($J51="一次排查","筛SKU/核库存","暂无"))))))))))</x:f>
        <x:v>控投/清尾/算留仓</x:v>
      </x:c>
      <x:c r="X51" s="15" t="str">
        <x:f>IF(AND('今日提醒'!$B$2&gt;=$L51,'今日提醒'!$B$2&lt;=$M51,$L51=$M51),"节点当日：不是预热",IF(AND('今日提醒'!$B$2&gt;=$L51,'今日提醒'!$B$2&lt;=$M51,'今日提醒'!$B$2&gt;$S51),"高频已结束但销售窗口未结束：疑似尾期/下滑",IF(AND('今日提醒'!$B$2&gt;$M51,'今日提醒'!$B$2&lt;=$S51),"节点已过但仍在清尾窗口",IF($J51="大节气提前","大节气高频前30天：提前进入主推准备",IF($J51="临近二次","大节气二次排查前14天：提前准备","")))))</x:f>
        <x:v>高频已结束但销售窗口未结束：疑似尾期/下滑</x:v>
      </x:c>
    </x:row>
    <x:row r="52" ht="58" hidden="0" customHeight="1">
      <x:c r="A52" s="41" t="str">
        <x:v>School Lunch Hero Day</x:v>
      </x:c>
      <x:c r="B52" s="41" t="str">
        <x:v>学校午餐英雄日</x:v>
      </x:c>
      <x:c r="C52" s="41" t="str">
        <x:v>感谢学校食堂与午餐服务人员，适合lunch lady/food service礼品。</x:v>
      </x:c>
      <x:c r="D52" s="41" t="str">
        <x:v>2026-05-01</x:v>
      </x:c>
      <x:c r="E52" s="41" t="str">
        <x:v>每年变动</x:v>
      </x:c>
      <x:c r="F52" s="41" t="str">
        <x:v>lunch lady gifts、school staff感谢卡、餐饮员工小礼</x:v>
      </x:c>
      <x:c r="G52" s="41" t="str">
        <x:v>2026-03-02 ~ 2026-03-17：先筛匹配SKU、历史销量、库存和利润空间。</x:v>
      </x:c>
      <x:c r="H52" s="41" t="str">
        <x:v>2026-04-01 ~ 2026-04-10：补关键词/ASIN、Listing埋词和广告预算。</x:v>
      </x:c>
      <x:c r="I52" s="41" t="str">
        <x:v>2026-04-17 ~ 2026-05-03：重点SKU每日看，普通SKU每2-3天看。</x:v>
      </x:c>
      <x:c r="J52" s="41" t="str">
        <x:f>IF(AND('今日提醒'!$B$2&gt;=$L52,'今日提醒'!$B$2&lt;=$M52,$L52=$M52),"节点当日",IF(AND('今日提醒'!$B$2&gt;=$L52,'今日提醒'!$B$2&lt;=$M52,'今日提醒'!$B$2&gt;$S52),"收尾下滑",IF(AND('今日提醒'!$B$2&gt;=$L52,'今日提醒'!$B$2&lt;=$M52),"节点进行中",IF(AND('今日提醒'!$B$2&gt;$M52,'今日提醒'!$B$2&lt;=$S52),"节后清尾",IF(AND('今日提醒'!$B$2&gt;=$R52,'今日提醒'!$B$2&lt;=$S52),"高频跟进",IF(AND('今日提醒'!$B$2&gt;=($R52-14),'今日提醒'!$B$2&lt;$R52,'今日提醒'!$B$2&lt;$L52),"临近高频",IF(AND(OR($A52="Chinese New Year",$A52="Super Bowl",$A52="Valentine's Day",$A52="Valentine Week",$A52="St. Patrick's Day",$A52="Easter",$A52="Graduation Season",$A52="Prom Season",$A52="Teacher Appreciation Week",$A52="Mother's Day",$A52="Memorial Day",$A52="Father's Day",$A52="Independence Day",$A52="Back-to-School Season",$A52="Labor Day",$A52="Halloween",$A52="Thanksgiving",$A52="Black Friday / Cyber Monday",$A52="Christmas",$A52="New Year's Eve / New Year Season"),'今日提醒'!$B$2&gt;=($R52-30),'今日提醒'!$B$2&lt;$R52,'今日提醒'!$B$2&lt;$L52),"大节气提前",IF(AND('今日提醒'!$B$2&gt;=$P52,'今日提醒'!$B$2&lt;=$Q52),"二次排查",IF(AND(OR($A52="Chinese New Year",$A52="Super Bowl",$A52="Valentine's Day",$A52="Valentine Week",$A52="St. Patrick's Day",$A52="Easter",$A52="Graduation Season",$A52="Prom Season",$A52="Teacher Appreciation Week",$A52="Mother's Day",$A52="Memorial Day",$A52="Father's Day",$A52="Independence Day",$A52="Back-to-School Season",$A52="Labor Day",$A52="Halloween",$A52="Thanksgiving",$A52="Black Friday / Cyber Monday",$A52="Christmas",$A52="New Year's Eve / New Year Season"),'今日提醒'!$B$2&gt;=($P52-14),'今日提醒'!$B$2&lt;$P52,'今日提醒'!$B$2&lt;$L52),"临近二次",IF(AND('今日提醒'!$B$2&gt;=$N52,'今日提醒'!$B$2&lt;=$O52),"一次排查",IF('今日提醒'!$B$2&lt;$N52,"未到排查",IF('今日提醒'!$B$2&lt;$L52,"等待下一窗口","已过"))))))))))))</x:f>
        <x:v>已过</x:v>
      </x:c>
      <x:c r="K52" s="41" t="str">
        <x:f>IF($J52="收尾下滑","主购买/高频窗口已过，流量可能走弱：不要盲目加预算或新建组；优先看库存压力、ACOS、广告占比、自然单，仅保留高转化词，计算清货/留仓。",IF($J52="节后清尾","节点已过但仍在清尾窗口：控低效词、降无效预算，复盘转化词；库存重则算清货，库存轻则吃完尾流。",IF($J52="节点当日","今天就是节点当日：优先看转化、库存承接、广告花费和尾流风险；可以吃最后一波有效流量，但不要再大范围新建或盲目加预算。",IF($J52="节点进行中","当前在节点/销售窗口内：这是进行中，不是预热；重点看销量、库存承接、广告花费、转化和是否已出现流量下滑。",IF($J52="高频跟进","今天在高频跟进窗口：头部SKU每日看；重点看高库存、高花费、断货风险和ACOS。",IF($J52="临近高频","高频窗口即将开始：今天先预查广告结构、关键词/ASIN、Listing埋词、库存承接和预算，避免临近节点再补。",IF($J52="大节气提前","大节气提前窗口：不要等高频当天再动；今天先锁定主推SKU、库存承接、Listing节日词、广告结构和预算上限，低相关/低库存产品不硬推。",IF($J52="二次排查","今天在二次排查窗口：补广告结构、关键词/ASIN、预算和Listing埋词。",IF($J52="临近二次","大节气二次排查即将开始：提前准备词/ASIN/图片/价格/促销，不等窗口当天才补结构。",IF($J52="一次排查","今天在一次排查窗口：先筛SKU，看历史动销、库存、利润和Listing匹配。",IF($J52="未到排查","暂不处理，等一次排查窗口。",IF($J52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52" s="42" t="n">
        <x:v>46143</x:v>
      </x:c>
      <x:c r="M52" s="42" t="n">
        <x:v>46143</x:v>
      </x:c>
      <x:c r="N52" s="42" t="n">
        <x:v>46083</x:v>
      </x:c>
      <x:c r="O52" s="42" t="n">
        <x:v>46098</x:v>
      </x:c>
      <x:c r="P52" s="42" t="n">
        <x:v>46113</x:v>
      </x:c>
      <x:c r="Q52" s="42" t="n">
        <x:v>46122</x:v>
      </x:c>
      <x:c r="R52" s="42" t="n">
        <x:v>46129</x:v>
      </x:c>
      <x:c r="S52" s="42" t="n">
        <x:v>46145</x:v>
      </x:c>
      <x:c r="T52" s="43" t="n">
        <x:f>$L52-'今日提醒'!$B$2</x:f>
        <x:v>-24</x:v>
      </x:c>
      <x:c r="U52" s="74" t="n">
        <x:f>IF(OR($J52="收尾下滑",$J52="节后清尾",$J52="节点当日",$J52="节点进行中",$J52="高频跟进",$J52="临近高频",$J52="大节气提前",$J52="二次排查",$J52="临近二次",$J52="一次排查"),IF($J52="收尾下滑",1,IF($J52="节后清尾",2,IF($J52="节点当日",3,IF($J52="节点进行中",4,IF($J52="高频跟进",5,IF($J52="临近高频",6,IF($J52="大节气提前",7,IF($J52="二次排查",8,IF($J52="临近二次",9,10)))))))))*100000+ROW(),99999999+ROW())</x:f>
        <x:v>100000051</x:v>
      </x:c>
      <x:c r="V52" s="15" t="str">
        <x:f>IF(OR($J52="收尾下滑",$J52="节后清尾"),"风险/止损",IF($J52="节点当日","机会/当日冲刺",IF($J52="节点进行中","机会/进行中",IF($J52="高频跟进","机会/高频",IF($J52="大节气提前","机会/大节气提前",IF(OR($J52="临近高频",$J52="临近二次",$J52="二次排查",$J52="一次排查"),"机会/预热","非今日"))))))</x:f>
        <x:v>非今日</x:v>
      </x:c>
      <x:c r="W52" s="15" t="str">
        <x:f>IF($J52="收尾下滑","控投/清尾/算留仓",IF($J52="节后清尾","节后降投/复盘",IF($J52="节点当日","当日冲刺/控尾流",IF($J52="节点进行中","转化监控/看趋势",IF($J52="高频跟进","放量+控ACOS",IF($J52="大节气提前","提前锁结构/预算",IF($J52="临近高频","预查结构/埋词",IF($J52="临近二次","提前补结构/埋词",IF($J52="二次排查","补结构/补词",IF($J52="一次排查","筛SKU/核库存","暂无"))))))))))</x:f>
        <x:v>暂无</x:v>
      </x:c>
      <x:c r="X52" s="15" t="str">
        <x:f>IF(AND('今日提醒'!$B$2&gt;=$L52,'今日提醒'!$B$2&lt;=$M52,$L52=$M52),"节点当日：不是预热",IF(AND('今日提醒'!$B$2&gt;=$L52,'今日提醒'!$B$2&lt;=$M52,'今日提醒'!$B$2&gt;$S52),"高频已结束但销售窗口未结束：疑似尾期/下滑",IF(AND('今日提醒'!$B$2&gt;$M52,'今日提醒'!$B$2&lt;=$S52),"节点已过但仍在清尾窗口",IF($J52="大节气提前","大节气高频前30天：提前进入主推准备",IF($J52="临近二次","大节气二次排查前14天：提前准备","")))))</x:f>
      </x:c>
    </x:row>
    <x:row r="53" ht="58" hidden="0" customHeight="1">
      <x:c r="A53" s="41" t="str">
        <x:v>Teacher Appreciation Week</x:v>
      </x:c>
      <x:c r="B53" s="41" t="str">
        <x:v>教师感谢周</x:v>
      </x:c>
      <x:c r="C53" s="41" t="str">
        <x:v>美国教师礼品重要窗口，适合老师杯、卡片、挂件、批量小礼品。</x:v>
      </x:c>
      <x:c r="D53" s="41" t="str">
        <x:v>2026-05-04 ~ 2026-05-08</x:v>
      </x:c>
      <x:c r="E53" s="41" t="str">
        <x:v>每年变动</x:v>
      </x:c>
      <x:c r="F53" s="41" t="str">
        <x:v>teacher gifts、staff appreciation bulk gifts、书签/手链/感谢卡</x:v>
      </x:c>
      <x:c r="G53" s="41" t="str">
        <x:v>2026-02-18 ~ 2026-03-05：按职业词筛SKU，核库存、历史动销和礼品适配。</x:v>
      </x:c>
      <x:c r="H53" s="41" t="str">
        <x:v>2026-03-25 ~ 2026-04-04：建/补广告组，补关键词/ASIN，处理低效流量。</x:v>
      </x:c>
      <x:c r="I53" s="41" t="str">
        <x:v>2026-04-20 ~ 2026-05-08：高库存/高花费SKU每日看，其余2-3天看。</x:v>
      </x:c>
      <x:c r="J53" s="41" t="str">
        <x:f>IF(AND('今日提醒'!$B$2&gt;=$L53,'今日提醒'!$B$2&lt;=$M53,$L53=$M53),"节点当日",IF(AND('今日提醒'!$B$2&gt;=$L53,'今日提醒'!$B$2&lt;=$M53,'今日提醒'!$B$2&gt;$S53),"收尾下滑",IF(AND('今日提醒'!$B$2&gt;=$L53,'今日提醒'!$B$2&lt;=$M53),"节点进行中",IF(AND('今日提醒'!$B$2&gt;$M53,'今日提醒'!$B$2&lt;=$S53),"节后清尾",IF(AND('今日提醒'!$B$2&gt;=$R53,'今日提醒'!$B$2&lt;=$S53),"高频跟进",IF(AND('今日提醒'!$B$2&gt;=($R53-14),'今日提醒'!$B$2&lt;$R53,'今日提醒'!$B$2&lt;$L53),"临近高频",IF(AND(OR($A53="Chinese New Year",$A53="Super Bowl",$A53="Valentine's Day",$A53="Valentine Week",$A53="St. Patrick's Day",$A53="Easter",$A53="Graduation Season",$A53="Prom Season",$A53="Teacher Appreciation Week",$A53="Mother's Day",$A53="Memorial Day",$A53="Father's Day",$A53="Independence Day",$A53="Back-to-School Season",$A53="Labor Day",$A53="Halloween",$A53="Thanksgiving",$A53="Black Friday / Cyber Monday",$A53="Christmas",$A53="New Year's Eve / New Year Season"),'今日提醒'!$B$2&gt;=($R53-30),'今日提醒'!$B$2&lt;$R53,'今日提醒'!$B$2&lt;$L53),"大节气提前",IF(AND('今日提醒'!$B$2&gt;=$P53,'今日提醒'!$B$2&lt;=$Q53),"二次排查",IF(AND(OR($A53="Chinese New Year",$A53="Super Bowl",$A53="Valentine's Day",$A53="Valentine Week",$A53="St. Patrick's Day",$A53="Easter",$A53="Graduation Season",$A53="Prom Season",$A53="Teacher Appreciation Week",$A53="Mother's Day",$A53="Memorial Day",$A53="Father's Day",$A53="Independence Day",$A53="Back-to-School Season",$A53="Labor Day",$A53="Halloween",$A53="Thanksgiving",$A53="Black Friday / Cyber Monday",$A53="Christmas",$A53="New Year's Eve / New Year Season"),'今日提醒'!$B$2&gt;=($P53-14),'今日提醒'!$B$2&lt;$P53,'今日提醒'!$B$2&lt;$L53),"临近二次",IF(AND('今日提醒'!$B$2&gt;=$N53,'今日提醒'!$B$2&lt;=$O53),"一次排查",IF('今日提醒'!$B$2&lt;$N53,"未到排查",IF('今日提醒'!$B$2&lt;$L53,"等待下一窗口","已过"))))))))))))</x:f>
        <x:v>已过</x:v>
      </x:c>
      <x:c r="K53" s="41" t="str">
        <x:f>IF($J53="收尾下滑","主购买/高频窗口已过，流量可能走弱：不要盲目加预算或新建组；优先看库存压力、ACOS、广告占比、自然单，仅保留高转化词，计算清货/留仓。",IF($J53="节后清尾","节点已过但仍在清尾窗口：控低效词、降无效预算，复盘转化词；库存重则算清货，库存轻则吃完尾流。",IF($J53="节点当日","今天就是节点当日：优先看转化、库存承接、广告花费和尾流风险；可以吃最后一波有效流量，但不要再大范围新建或盲目加预算。",IF($J53="节点进行中","当前在节点/销售窗口内：这是进行中，不是预热；重点看销量、库存承接、广告花费、转化和是否已出现流量下滑。",IF($J53="高频跟进","今天在高频跟进窗口：头部SKU每日看；重点看高库存、高花费、断货风险和ACOS。",IF($J53="临近高频","高频窗口即将开始：今天先预查广告结构、关键词/ASIN、Listing埋词、库存承接和预算，避免临近节点再补。",IF($J53="大节气提前","大节气提前窗口：不要等高频当天再动；今天先锁定主推SKU、库存承接、Listing节日词、广告结构和预算上限，低相关/低库存产品不硬推。",IF($J53="二次排查","今天在二次排查窗口：补广告结构、关键词/ASIN、预算和Listing埋词。",IF($J53="临近二次","大节气二次排查即将开始：提前准备词/ASIN/图片/价格/促销，不等窗口当天才补结构。",IF($J53="一次排查","今天在一次排查窗口：先筛SKU，看历史动销、库存、利润和Listing匹配。",IF($J53="未到排查","暂不处理，等一次排查窗口。",IF($J53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53" s="42" t="n">
        <x:v>46146</x:v>
      </x:c>
      <x:c r="M53" s="42" t="n">
        <x:v>46150</x:v>
      </x:c>
      <x:c r="N53" s="42" t="n">
        <x:v>46071</x:v>
      </x:c>
      <x:c r="O53" s="42" t="n">
        <x:v>46086</x:v>
      </x:c>
      <x:c r="P53" s="42" t="n">
        <x:v>46106</x:v>
      </x:c>
      <x:c r="Q53" s="42" t="n">
        <x:v>46116</x:v>
      </x:c>
      <x:c r="R53" s="42" t="n">
        <x:v>46132</x:v>
      </x:c>
      <x:c r="S53" s="42" t="n">
        <x:v>46150</x:v>
      </x:c>
      <x:c r="T53" s="43" t="n">
        <x:f>$L53-'今日提醒'!$B$2</x:f>
        <x:v>-21</x:v>
      </x:c>
      <x:c r="U53" s="74" t="n">
        <x:f>IF(OR($J53="收尾下滑",$J53="节后清尾",$J53="节点当日",$J53="节点进行中",$J53="高频跟进",$J53="临近高频",$J53="大节气提前",$J53="二次排查",$J53="临近二次",$J53="一次排查"),IF($J53="收尾下滑",1,IF($J53="节后清尾",2,IF($J53="节点当日",3,IF($J53="节点进行中",4,IF($J53="高频跟进",5,IF($J53="临近高频",6,IF($J53="大节气提前",7,IF($J53="二次排查",8,IF($J53="临近二次",9,10)))))))))*100000+ROW(),99999999+ROW())</x:f>
        <x:v>100000052</x:v>
      </x:c>
      <x:c r="V53" s="15" t="str">
        <x:f>IF(OR($J53="收尾下滑",$J53="节后清尾"),"风险/止损",IF($J53="节点当日","机会/当日冲刺",IF($J53="节点进行中","机会/进行中",IF($J53="高频跟进","机会/高频",IF($J53="大节气提前","机会/大节气提前",IF(OR($J53="临近高频",$J53="临近二次",$J53="二次排查",$J53="一次排查"),"机会/预热","非今日"))))))</x:f>
        <x:v>非今日</x:v>
      </x:c>
      <x:c r="W53" s="15" t="str">
        <x:f>IF($J53="收尾下滑","控投/清尾/算留仓",IF($J53="节后清尾","节后降投/复盘",IF($J53="节点当日","当日冲刺/控尾流",IF($J53="节点进行中","转化监控/看趋势",IF($J53="高频跟进","放量+控ACOS",IF($J53="大节气提前","提前锁结构/预算",IF($J53="临近高频","预查结构/埋词",IF($J53="临近二次","提前补结构/埋词",IF($J53="二次排查","补结构/补词",IF($J53="一次排查","筛SKU/核库存","暂无"))))))))))</x:f>
        <x:v>暂无</x:v>
      </x:c>
      <x:c r="X53" s="15" t="str">
        <x:f>IF(AND('今日提醒'!$B$2&gt;=$L53,'今日提醒'!$B$2&lt;=$M53,$L53=$M53),"节点当日：不是预热",IF(AND('今日提醒'!$B$2&gt;=$L53,'今日提醒'!$B$2&lt;=$M53,'今日提醒'!$B$2&gt;$S53),"高频已结束但销售窗口未结束：疑似尾期/下滑",IF(AND('今日提醒'!$B$2&gt;$M53,'今日提醒'!$B$2&lt;=$S53),"节点已过但仍在清尾窗口",IF($J53="大节气提前","大节气高频前30天：提前进入主推准备",IF($J53="临近二次","大节气二次排查前14天：提前准备","")))))</x:f>
      </x:c>
    </x:row>
    <x:row r="54" ht="58" hidden="0" customHeight="1">
      <x:c r="A54" s="41" t="str">
        <x:v>Teacher Appreciation Day / National Teacher Day</x:v>
      </x:c>
      <x:c r="B54" s="41" t="str">
        <x:v>教师感谢日/全国教师日</x:v>
      </x:c>
      <x:c r="C54" s="41" t="str">
        <x:v>教师感谢周内的核心单日，适合teacher gift关键词。</x:v>
      </x:c>
      <x:c r="D54" s="41" t="str">
        <x:v>2026-05-05</x:v>
      </x:c>
      <x:c r="E54" s="41" t="str">
        <x:v>每年变动</x:v>
      </x:c>
      <x:c r="F54" s="41" t="str">
        <x:v>teacher gifts、staff appreciation bulk gifts、书签/手链/感谢卡</x:v>
      </x:c>
      <x:c r="G54" s="41" t="str">
        <x:v>2026-03-06 ~ 2026-03-21：先筛匹配SKU、历史销量、库存和利润空间。</x:v>
      </x:c>
      <x:c r="H54" s="41" t="str">
        <x:v>2026-04-05 ~ 2026-04-14：补关键词/ASIN、Listing埋词和广告预算。</x:v>
      </x:c>
      <x:c r="I54" s="41" t="str">
        <x:v>2026-04-21 ~ 2026-05-07：重点SKU每日看，普通SKU每2-3天看。</x:v>
      </x:c>
      <x:c r="J54" s="41" t="str">
        <x:f>IF(AND('今日提醒'!$B$2&gt;=$L54,'今日提醒'!$B$2&lt;=$M54,$L54=$M54),"节点当日",IF(AND('今日提醒'!$B$2&gt;=$L54,'今日提醒'!$B$2&lt;=$M54,'今日提醒'!$B$2&gt;$S54),"收尾下滑",IF(AND('今日提醒'!$B$2&gt;=$L54,'今日提醒'!$B$2&lt;=$M54),"节点进行中",IF(AND('今日提醒'!$B$2&gt;$M54,'今日提醒'!$B$2&lt;=$S54),"节后清尾",IF(AND('今日提醒'!$B$2&gt;=$R54,'今日提醒'!$B$2&lt;=$S54),"高频跟进",IF(AND('今日提醒'!$B$2&gt;=($R54-14),'今日提醒'!$B$2&lt;$R54,'今日提醒'!$B$2&lt;$L54),"临近高频",IF(AND(OR($A54="Chinese New Year",$A54="Super Bowl",$A54="Valentine's Day",$A54="Valentine Week",$A54="St. Patrick's Day",$A54="Easter",$A54="Graduation Season",$A54="Prom Season",$A54="Teacher Appreciation Week",$A54="Mother's Day",$A54="Memorial Day",$A54="Father's Day",$A54="Independence Day",$A54="Back-to-School Season",$A54="Labor Day",$A54="Halloween",$A54="Thanksgiving",$A54="Black Friday / Cyber Monday",$A54="Christmas",$A54="New Year's Eve / New Year Season"),'今日提醒'!$B$2&gt;=($R54-30),'今日提醒'!$B$2&lt;$R54,'今日提醒'!$B$2&lt;$L54),"大节气提前",IF(AND('今日提醒'!$B$2&gt;=$P54,'今日提醒'!$B$2&lt;=$Q54),"二次排查",IF(AND(OR($A54="Chinese New Year",$A54="Super Bowl",$A54="Valentine's Day",$A54="Valentine Week",$A54="St. Patrick's Day",$A54="Easter",$A54="Graduation Season",$A54="Prom Season",$A54="Teacher Appreciation Week",$A54="Mother's Day",$A54="Memorial Day",$A54="Father's Day",$A54="Independence Day",$A54="Back-to-School Season",$A54="Labor Day",$A54="Halloween",$A54="Thanksgiving",$A54="Black Friday / Cyber Monday",$A54="Christmas",$A54="New Year's Eve / New Year Season"),'今日提醒'!$B$2&gt;=($P54-14),'今日提醒'!$B$2&lt;$P54,'今日提醒'!$B$2&lt;$L54),"临近二次",IF(AND('今日提醒'!$B$2&gt;=$N54,'今日提醒'!$B$2&lt;=$O54),"一次排查",IF('今日提醒'!$B$2&lt;$N54,"未到排查",IF('今日提醒'!$B$2&lt;$L54,"等待下一窗口","已过"))))))))))))</x:f>
        <x:v>已过</x:v>
      </x:c>
      <x:c r="K54" s="41" t="str">
        <x:f>IF($J54="收尾下滑","主购买/高频窗口已过，流量可能走弱：不要盲目加预算或新建组；优先看库存压力、ACOS、广告占比、自然单，仅保留高转化词，计算清货/留仓。",IF($J54="节后清尾","节点已过但仍在清尾窗口：控低效词、降无效预算，复盘转化词；库存重则算清货，库存轻则吃完尾流。",IF($J54="节点当日","今天就是节点当日：优先看转化、库存承接、广告花费和尾流风险；可以吃最后一波有效流量，但不要再大范围新建或盲目加预算。",IF($J54="节点进行中","当前在节点/销售窗口内：这是进行中，不是预热；重点看销量、库存承接、广告花费、转化和是否已出现流量下滑。",IF($J54="高频跟进","今天在高频跟进窗口：头部SKU每日看；重点看高库存、高花费、断货风险和ACOS。",IF($J54="临近高频","高频窗口即将开始：今天先预查广告结构、关键词/ASIN、Listing埋词、库存承接和预算，避免临近节点再补。",IF($J54="大节气提前","大节气提前窗口：不要等高频当天再动；今天先锁定主推SKU、库存承接、Listing节日词、广告结构和预算上限，低相关/低库存产品不硬推。",IF($J54="二次排查","今天在二次排查窗口：补广告结构、关键词/ASIN、预算和Listing埋词。",IF($J54="临近二次","大节气二次排查即将开始：提前准备词/ASIN/图片/价格/促销，不等窗口当天才补结构。",IF($J54="一次排查","今天在一次排查窗口：先筛SKU，看历史动销、库存、利润和Listing匹配。",IF($J54="未到排查","暂不处理，等一次排查窗口。",IF($J54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54" s="42" t="n">
        <x:v>46147</x:v>
      </x:c>
      <x:c r="M54" s="42" t="n">
        <x:v>46147</x:v>
      </x:c>
      <x:c r="N54" s="42" t="n">
        <x:v>46087</x:v>
      </x:c>
      <x:c r="O54" s="42" t="n">
        <x:v>46102</x:v>
      </x:c>
      <x:c r="P54" s="42" t="n">
        <x:v>46117</x:v>
      </x:c>
      <x:c r="Q54" s="42" t="n">
        <x:v>46126</x:v>
      </x:c>
      <x:c r="R54" s="42" t="n">
        <x:v>46133</x:v>
      </x:c>
      <x:c r="S54" s="42" t="n">
        <x:v>46149</x:v>
      </x:c>
      <x:c r="T54" s="43" t="n">
        <x:f>$L54-'今日提醒'!$B$2</x:f>
        <x:v>-20</x:v>
      </x:c>
      <x:c r="U54" s="74" t="n">
        <x:f>IF(OR($J54="收尾下滑",$J54="节后清尾",$J54="节点当日",$J54="节点进行中",$J54="高频跟进",$J54="临近高频",$J54="大节气提前",$J54="二次排查",$J54="临近二次",$J54="一次排查"),IF($J54="收尾下滑",1,IF($J54="节后清尾",2,IF($J54="节点当日",3,IF($J54="节点进行中",4,IF($J54="高频跟进",5,IF($J54="临近高频",6,IF($J54="大节气提前",7,IF($J54="二次排查",8,IF($J54="临近二次",9,10)))))))))*100000+ROW(),99999999+ROW())</x:f>
        <x:v>100000053</x:v>
      </x:c>
      <x:c r="V54" s="15" t="str">
        <x:f>IF(OR($J54="收尾下滑",$J54="节后清尾"),"风险/止损",IF($J54="节点当日","机会/当日冲刺",IF($J54="节点进行中","机会/进行中",IF($J54="高频跟进","机会/高频",IF($J54="大节气提前","机会/大节气提前",IF(OR($J54="临近高频",$J54="临近二次",$J54="二次排查",$J54="一次排查"),"机会/预热","非今日"))))))</x:f>
        <x:v>非今日</x:v>
      </x:c>
      <x:c r="W54" s="15" t="str">
        <x:f>IF($J54="收尾下滑","控投/清尾/算留仓",IF($J54="节后清尾","节后降投/复盘",IF($J54="节点当日","当日冲刺/控尾流",IF($J54="节点进行中","转化监控/看趋势",IF($J54="高频跟进","放量+控ACOS",IF($J54="大节气提前","提前锁结构/预算",IF($J54="临近高频","预查结构/埋词",IF($J54="临近二次","提前补结构/埋词",IF($J54="二次排查","补结构/补词",IF($J54="一次排查","筛SKU/核库存","暂无"))))))))))</x:f>
        <x:v>暂无</x:v>
      </x:c>
      <x:c r="X54" s="15" t="str">
        <x:f>IF(AND('今日提醒'!$B$2&gt;=$L54,'今日提醒'!$B$2&lt;=$M54,$L54=$M54),"节点当日：不是预热",IF(AND('今日提醒'!$B$2&gt;=$L54,'今日提醒'!$B$2&lt;=$M54,'今日提醒'!$B$2&gt;$S54),"高频已结束但销售窗口未结束：疑似尾期/下滑",IF(AND('今日提醒'!$B$2&gt;$M54,'今日提醒'!$B$2&lt;=$S54),"节点已过但仍在清尾窗口",IF($J54="大节气提前","大节气高频前30天：提前进入主推准备",IF($J54="临近二次","大节气二次排查前14天：提前准备","")))))</x:f>
      </x:c>
    </x:row>
    <x:row r="55" ht="58" hidden="0" customHeight="1">
      <x:c r="A55" s="41" t="str">
        <x:v>Cinco de Mayo</x:v>
      </x:c>
      <x:c r="B55" s="41" t="str">
        <x:v>五月五日节/普埃布拉战役纪念日</x:v>
      </x:c>
      <x:c r="C55" s="41" t="str">
        <x:v>纪念墨西哥军队1862年普埃布拉战役胜利，在美国常用于墨西哥文化与派对场景。</x:v>
      </x:c>
      <x:c r="D55" s="41" t="str">
        <x:v>2026-05-05</x:v>
      </x:c>
      <x:c r="E55" s="41" t="str">
        <x:v>固定日期</x:v>
      </x:c>
      <x:c r="F55" s="41" t="str">
        <x:v>墨西哥风party favors、彩色装饰、西语祝福卡</x:v>
      </x:c>
      <x:c r="G55" s="41" t="str">
        <x:v>2026-02-04 ~ 2026-02-19：筛对应SKU、查历史销量/库存/利润空间。</x:v>
      </x:c>
      <x:c r="H55" s="41" t="str">
        <x:v>2026-03-21 ~ 2026-03-31：补广告结构、关键词和Listing埋词。</x:v>
      </x:c>
      <x:c r="I55" s="41" t="str">
        <x:v>2026-04-21 ~ 2026-04-28：重点SKU每日或隔日看，长尾每周2次。</x:v>
      </x:c>
      <x:c r="J55" s="41" t="str">
        <x:f>IF(AND('今日提醒'!$B$2&gt;=$L55,'今日提醒'!$B$2&lt;=$M55,$L55=$M55),"节点当日",IF(AND('今日提醒'!$B$2&gt;=$L55,'今日提醒'!$B$2&lt;=$M55,'今日提醒'!$B$2&gt;$S55),"收尾下滑",IF(AND('今日提醒'!$B$2&gt;=$L55,'今日提醒'!$B$2&lt;=$M55),"节点进行中",IF(AND('今日提醒'!$B$2&gt;$M55,'今日提醒'!$B$2&lt;=$S55),"节后清尾",IF(AND('今日提醒'!$B$2&gt;=$R55,'今日提醒'!$B$2&lt;=$S55),"高频跟进",IF(AND('今日提醒'!$B$2&gt;=($R55-14),'今日提醒'!$B$2&lt;$R55,'今日提醒'!$B$2&lt;$L55),"临近高频",IF(AND(OR($A55="Chinese New Year",$A55="Super Bowl",$A55="Valentine's Day",$A55="Valentine Week",$A55="St. Patrick's Day",$A55="Easter",$A55="Graduation Season",$A55="Prom Season",$A55="Teacher Appreciation Week",$A55="Mother's Day",$A55="Memorial Day",$A55="Father's Day",$A55="Independence Day",$A55="Back-to-School Season",$A55="Labor Day",$A55="Halloween",$A55="Thanksgiving",$A55="Black Friday / Cyber Monday",$A55="Christmas",$A55="New Year's Eve / New Year Season"),'今日提醒'!$B$2&gt;=($R55-30),'今日提醒'!$B$2&lt;$R55,'今日提醒'!$B$2&lt;$L55),"大节气提前",IF(AND('今日提醒'!$B$2&gt;=$P55,'今日提醒'!$B$2&lt;=$Q55),"二次排查",IF(AND(OR($A55="Chinese New Year",$A55="Super Bowl",$A55="Valentine's Day",$A55="Valentine Week",$A55="St. Patrick's Day",$A55="Easter",$A55="Graduation Season",$A55="Prom Season",$A55="Teacher Appreciation Week",$A55="Mother's Day",$A55="Memorial Day",$A55="Father's Day",$A55="Independence Day",$A55="Back-to-School Season",$A55="Labor Day",$A55="Halloween",$A55="Thanksgiving",$A55="Black Friday / Cyber Monday",$A55="Christmas",$A55="New Year's Eve / New Year Season"),'今日提醒'!$B$2&gt;=($P55-14),'今日提醒'!$B$2&lt;$P55,'今日提醒'!$B$2&lt;$L55),"临近二次",IF(AND('今日提醒'!$B$2&gt;=$N55,'今日提醒'!$B$2&lt;=$O55),"一次排查",IF('今日提醒'!$B$2&lt;$N55,"未到排查",IF('今日提醒'!$B$2&lt;$L55,"等待下一窗口","已过"))))))))))))</x:f>
        <x:v>已过</x:v>
      </x:c>
      <x:c r="K55" s="41" t="str">
        <x:f>IF($J55="收尾下滑","主购买/高频窗口已过，流量可能走弱：不要盲目加预算或新建组；优先看库存压力、ACOS、广告占比、自然单，仅保留高转化词，计算清货/留仓。",IF($J55="节后清尾","节点已过但仍在清尾窗口：控低效词、降无效预算，复盘转化词；库存重则算清货，库存轻则吃完尾流。",IF($J55="节点当日","今天就是节点当日：优先看转化、库存承接、广告花费和尾流风险；可以吃最后一波有效流量，但不要再大范围新建或盲目加预算。",IF($J55="节点进行中","当前在节点/销售窗口内：这是进行中，不是预热；重点看销量、库存承接、广告花费、转化和是否已出现流量下滑。",IF($J55="高频跟进","今天在高频跟进窗口：头部SKU每日看；重点看高库存、高花费、断货风险和ACOS。",IF($J55="临近高频","高频窗口即将开始：今天先预查广告结构、关键词/ASIN、Listing埋词、库存承接和预算，避免临近节点再补。",IF($J55="大节气提前","大节气提前窗口：不要等高频当天再动；今天先锁定主推SKU、库存承接、Listing节日词、广告结构和预算上限，低相关/低库存产品不硬推。",IF($J55="二次排查","今天在二次排查窗口：补广告结构、关键词/ASIN、预算和Listing埋词。",IF($J55="临近二次","大节气二次排查即将开始：提前准备词/ASIN/图片/价格/促销，不等窗口当天才补结构。",IF($J55="一次排查","今天在一次排查窗口：先筛SKU，看历史动销、库存、利润和Listing匹配。",IF($J55="未到排查","暂不处理，等一次排查窗口。",IF($J55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55" s="42" t="n">
        <x:v>46147</x:v>
      </x:c>
      <x:c r="M55" s="42" t="n">
        <x:v>46147</x:v>
      </x:c>
      <x:c r="N55" s="42" t="n">
        <x:v>46057</x:v>
      </x:c>
      <x:c r="O55" s="42" t="n">
        <x:v>46072</x:v>
      </x:c>
      <x:c r="P55" s="42" t="n">
        <x:v>46102</x:v>
      </x:c>
      <x:c r="Q55" s="42" t="n">
        <x:v>46112</x:v>
      </x:c>
      <x:c r="R55" s="42" t="n">
        <x:v>46133</x:v>
      </x:c>
      <x:c r="S55" s="42" t="n">
        <x:v>46140</x:v>
      </x:c>
      <x:c r="T55" s="43" t="n">
        <x:f>$L55-'今日提醒'!$B$2</x:f>
        <x:v>-20</x:v>
      </x:c>
      <x:c r="U55" s="74" t="n">
        <x:f>IF(OR($J55="收尾下滑",$J55="节后清尾",$J55="节点当日",$J55="节点进行中",$J55="高频跟进",$J55="临近高频",$J55="大节气提前",$J55="二次排查",$J55="临近二次",$J55="一次排查"),IF($J55="收尾下滑",1,IF($J55="节后清尾",2,IF($J55="节点当日",3,IF($J55="节点进行中",4,IF($J55="高频跟进",5,IF($J55="临近高频",6,IF($J55="大节气提前",7,IF($J55="二次排查",8,IF($J55="临近二次",9,10)))))))))*100000+ROW(),99999999+ROW())</x:f>
        <x:v>100000054</x:v>
      </x:c>
      <x:c r="V55" s="15" t="str">
        <x:f>IF(OR($J55="收尾下滑",$J55="节后清尾"),"风险/止损",IF($J55="节点当日","机会/当日冲刺",IF($J55="节点进行中","机会/进行中",IF($J55="高频跟进","机会/高频",IF($J55="大节气提前","机会/大节气提前",IF(OR($J55="临近高频",$J55="临近二次",$J55="二次排查",$J55="一次排查"),"机会/预热","非今日"))))))</x:f>
        <x:v>非今日</x:v>
      </x:c>
      <x:c r="W55" s="15" t="str">
        <x:f>IF($J55="收尾下滑","控投/清尾/算留仓",IF($J55="节后清尾","节后降投/复盘",IF($J55="节点当日","当日冲刺/控尾流",IF($J55="节点进行中","转化监控/看趋势",IF($J55="高频跟进","放量+控ACOS",IF($J55="大节气提前","提前锁结构/预算",IF($J55="临近高频","预查结构/埋词",IF($J55="临近二次","提前补结构/埋词",IF($J55="二次排查","补结构/补词",IF($J55="一次排查","筛SKU/核库存","暂无"))))))))))</x:f>
        <x:v>暂无</x:v>
      </x:c>
      <x:c r="X55" s="15" t="str">
        <x:f>IF(AND('今日提醒'!$B$2&gt;=$L55,'今日提醒'!$B$2&lt;=$M55,$L55=$M55),"节点当日：不是预热",IF(AND('今日提醒'!$B$2&gt;=$L55,'今日提醒'!$B$2&lt;=$M55,'今日提醒'!$B$2&gt;$S55),"高频已结束但销售窗口未结束：疑似尾期/下滑",IF(AND('今日提醒'!$B$2&gt;$M55,'今日提醒'!$B$2&lt;=$S55),"节点已过但仍在清尾窗口",IF($J55="大节气提前","大节气高频前30天：提前进入主推准备",IF($J55="临近二次","大节气二次排查前14天：提前准备","")))))</x:f>
      </x:c>
    </x:row>
    <x:row r="56" ht="58" hidden="0" customHeight="1">
      <x:c r="A56" s="41" t="str">
        <x:v>National School Nurse Day</x:v>
      </x:c>
      <x:c r="B56" s="41" t="str">
        <x:v>全国学校护士日</x:v>
      </x:c>
      <x:c r="C56" s="41" t="str">
        <x:v>表彰学校护士在学生健康与校园安全中的作用，适合school nurse gifts。</x:v>
      </x:c>
      <x:c r="D56" s="41" t="str">
        <x:v>2026-05-06</x:v>
      </x:c>
      <x:c r="E56" s="41" t="str">
        <x:v>每年变动</x:v>
      </x:c>
      <x:c r="F56" s="41" t="str">
        <x:v>school nurse gifts、护士感谢卡、badge reel、钥匙扣</x:v>
      </x:c>
      <x:c r="G56" s="41" t="str">
        <x:v>2026-03-07 ~ 2026-03-22：先筛匹配SKU、历史销量、库存和利润空间。</x:v>
      </x:c>
      <x:c r="H56" s="41" t="str">
        <x:v>2026-04-06 ~ 2026-04-15：补关键词/ASIN、Listing埋词和广告预算。</x:v>
      </x:c>
      <x:c r="I56" s="41" t="str">
        <x:v>2026-04-22 ~ 2026-05-08：重点SKU每日看，普通SKU每2-3天看。</x:v>
      </x:c>
      <x:c r="J56" s="41" t="str">
        <x:f>IF(AND('今日提醒'!$B$2&gt;=$L56,'今日提醒'!$B$2&lt;=$M56,$L56=$M56),"节点当日",IF(AND('今日提醒'!$B$2&gt;=$L56,'今日提醒'!$B$2&lt;=$M56,'今日提醒'!$B$2&gt;$S56),"收尾下滑",IF(AND('今日提醒'!$B$2&gt;=$L56,'今日提醒'!$B$2&lt;=$M56),"节点进行中",IF(AND('今日提醒'!$B$2&gt;$M56,'今日提醒'!$B$2&lt;=$S56),"节后清尾",IF(AND('今日提醒'!$B$2&gt;=$R56,'今日提醒'!$B$2&lt;=$S56),"高频跟进",IF(AND('今日提醒'!$B$2&gt;=($R56-14),'今日提醒'!$B$2&lt;$R56,'今日提醒'!$B$2&lt;$L56),"临近高频",IF(AND(OR($A56="Chinese New Year",$A56="Super Bowl",$A56="Valentine's Day",$A56="Valentine Week",$A56="St. Patrick's Day",$A56="Easter",$A56="Graduation Season",$A56="Prom Season",$A56="Teacher Appreciation Week",$A56="Mother's Day",$A56="Memorial Day",$A56="Father's Day",$A56="Independence Day",$A56="Back-to-School Season",$A56="Labor Day",$A56="Halloween",$A56="Thanksgiving",$A56="Black Friday / Cyber Monday",$A56="Christmas",$A56="New Year's Eve / New Year Season"),'今日提醒'!$B$2&gt;=($R56-30),'今日提醒'!$B$2&lt;$R56,'今日提醒'!$B$2&lt;$L56),"大节气提前",IF(AND('今日提醒'!$B$2&gt;=$P56,'今日提醒'!$B$2&lt;=$Q56),"二次排查",IF(AND(OR($A56="Chinese New Year",$A56="Super Bowl",$A56="Valentine's Day",$A56="Valentine Week",$A56="St. Patrick's Day",$A56="Easter",$A56="Graduation Season",$A56="Prom Season",$A56="Teacher Appreciation Week",$A56="Mother's Day",$A56="Memorial Day",$A56="Father's Day",$A56="Independence Day",$A56="Back-to-School Season",$A56="Labor Day",$A56="Halloween",$A56="Thanksgiving",$A56="Black Friday / Cyber Monday",$A56="Christmas",$A56="New Year's Eve / New Year Season"),'今日提醒'!$B$2&gt;=($P56-14),'今日提醒'!$B$2&lt;$P56,'今日提醒'!$B$2&lt;$L56),"临近二次",IF(AND('今日提醒'!$B$2&gt;=$N56,'今日提醒'!$B$2&lt;=$O56),"一次排查",IF('今日提醒'!$B$2&lt;$N56,"未到排查",IF('今日提醒'!$B$2&lt;$L56,"等待下一窗口","已过"))))))))))))</x:f>
        <x:v>已过</x:v>
      </x:c>
      <x:c r="K56" s="41" t="str">
        <x:f>IF($J56="收尾下滑","主购买/高频窗口已过，流量可能走弱：不要盲目加预算或新建组；优先看库存压力、ACOS、广告占比、自然单，仅保留高转化词，计算清货/留仓。",IF($J56="节后清尾","节点已过但仍在清尾窗口：控低效词、降无效预算，复盘转化词；库存重则算清货，库存轻则吃完尾流。",IF($J56="节点当日","今天就是节点当日：优先看转化、库存承接、广告花费和尾流风险；可以吃最后一波有效流量，但不要再大范围新建或盲目加预算。",IF($J56="节点进行中","当前在节点/销售窗口内：这是进行中，不是预热；重点看销量、库存承接、广告花费、转化和是否已出现流量下滑。",IF($J56="高频跟进","今天在高频跟进窗口：头部SKU每日看；重点看高库存、高花费、断货风险和ACOS。",IF($J56="临近高频","高频窗口即将开始：今天先预查广告结构、关键词/ASIN、Listing埋词、库存承接和预算，避免临近节点再补。",IF($J56="大节气提前","大节气提前窗口：不要等高频当天再动；今天先锁定主推SKU、库存承接、Listing节日词、广告结构和预算上限，低相关/低库存产品不硬推。",IF($J56="二次排查","今天在二次排查窗口：补广告结构、关键词/ASIN、预算和Listing埋词。",IF($J56="临近二次","大节气二次排查即将开始：提前准备词/ASIN/图片/价格/促销，不等窗口当天才补结构。",IF($J56="一次排查","今天在一次排查窗口：先筛SKU，看历史动销、库存、利润和Listing匹配。",IF($J56="未到排查","暂不处理，等一次排查窗口。",IF($J56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56" s="42" t="n">
        <x:v>46148</x:v>
      </x:c>
      <x:c r="M56" s="42" t="n">
        <x:v>46148</x:v>
      </x:c>
      <x:c r="N56" s="42" t="n">
        <x:v>46088</x:v>
      </x:c>
      <x:c r="O56" s="42" t="n">
        <x:v>46103</x:v>
      </x:c>
      <x:c r="P56" s="42" t="n">
        <x:v>46118</x:v>
      </x:c>
      <x:c r="Q56" s="42" t="n">
        <x:v>46127</x:v>
      </x:c>
      <x:c r="R56" s="42" t="n">
        <x:v>46134</x:v>
      </x:c>
      <x:c r="S56" s="42" t="n">
        <x:v>46150</x:v>
      </x:c>
      <x:c r="T56" s="43" t="n">
        <x:f>$L56-'今日提醒'!$B$2</x:f>
        <x:v>-19</x:v>
      </x:c>
      <x:c r="U56" s="74" t="n">
        <x:f>IF(OR($J56="收尾下滑",$J56="节后清尾",$J56="节点当日",$J56="节点进行中",$J56="高频跟进",$J56="临近高频",$J56="大节气提前",$J56="二次排查",$J56="临近二次",$J56="一次排查"),IF($J56="收尾下滑",1,IF($J56="节后清尾",2,IF($J56="节点当日",3,IF($J56="节点进行中",4,IF($J56="高频跟进",5,IF($J56="临近高频",6,IF($J56="大节气提前",7,IF($J56="二次排查",8,IF($J56="临近二次",9,10)))))))))*100000+ROW(),99999999+ROW())</x:f>
        <x:v>100000055</x:v>
      </x:c>
      <x:c r="V56" s="15" t="str">
        <x:f>IF(OR($J56="收尾下滑",$J56="节后清尾"),"风险/止损",IF($J56="节点当日","机会/当日冲刺",IF($J56="节点进行中","机会/进行中",IF($J56="高频跟进","机会/高频",IF($J56="大节气提前","机会/大节气提前",IF(OR($J56="临近高频",$J56="临近二次",$J56="二次排查",$J56="一次排查"),"机会/预热","非今日"))))))</x:f>
        <x:v>非今日</x:v>
      </x:c>
      <x:c r="W56" s="15" t="str">
        <x:f>IF($J56="收尾下滑","控投/清尾/算留仓",IF($J56="节后清尾","节后降投/复盘",IF($J56="节点当日","当日冲刺/控尾流",IF($J56="节点进行中","转化监控/看趋势",IF($J56="高频跟进","放量+控ACOS",IF($J56="大节气提前","提前锁结构/预算",IF($J56="临近高频","预查结构/埋词",IF($J56="临近二次","提前补结构/埋词",IF($J56="二次排查","补结构/补词",IF($J56="一次排查","筛SKU/核库存","暂无"))))))))))</x:f>
        <x:v>暂无</x:v>
      </x:c>
      <x:c r="X56" s="15" t="str">
        <x:f>IF(AND('今日提醒'!$B$2&gt;=$L56,'今日提醒'!$B$2&lt;=$M56,$L56=$M56),"节点当日：不是预热",IF(AND('今日提醒'!$B$2&gt;=$L56,'今日提醒'!$B$2&lt;=$M56,'今日提醒'!$B$2&gt;$S56),"高频已结束但销售窗口未结束：疑似尾期/下滑",IF(AND('今日提醒'!$B$2&gt;$M56,'今日提醒'!$B$2&lt;=$S56),"节点已过但仍在清尾窗口",IF($J56="大节气提前","大节气高频前30天：提前进入主推准备",IF($J56="临近二次","大节气二次排查前14天：提前准备","")))))</x:f>
      </x:c>
    </x:row>
    <x:row r="57" ht="58" hidden="0" customHeight="1">
      <x:c r="A57" s="41" t="str">
        <x:v>National Nurses Week</x:v>
      </x:c>
      <x:c r="B57" s="41" t="str">
        <x:v>全国护士周</x:v>
      </x:c>
      <x:c r="C57" s="41" t="str">
        <x:v>美国护士礼品核心节点，适合nurse appreciation、RN、CNA等礼品。</x:v>
      </x:c>
      <x:c r="D57" s="41" t="str">
        <x:v>2026-05-06 ~ 2026-05-12</x:v>
      </x:c>
      <x:c r="E57" s="41" t="str">
        <x:v>固定区间</x:v>
      </x:c>
      <x:c r="F57" s="41" t="str">
        <x:v>nurse gifts、nurse week bulk gifts、badge reel、杯子、钥匙扣</x:v>
      </x:c>
      <x:c r="G57" s="41" t="str">
        <x:v>2026-02-20 ~ 2026-03-07：按职业词筛SKU，核库存、历史动销和礼品适配。</x:v>
      </x:c>
      <x:c r="H57" s="41" t="str">
        <x:v>2026-03-27 ~ 2026-04-06：建/补广告组，补关键词/ASIN，处理低效流量。</x:v>
      </x:c>
      <x:c r="I57" s="41" t="str">
        <x:v>2026-04-22 ~ 2026-05-12：高库存/高花费SKU每日看，其余2-3天看。</x:v>
      </x:c>
      <x:c r="J57" s="41" t="str">
        <x:f>IF(AND('今日提醒'!$B$2&gt;=$L57,'今日提醒'!$B$2&lt;=$M57,$L57=$M57),"节点当日",IF(AND('今日提醒'!$B$2&gt;=$L57,'今日提醒'!$B$2&lt;=$M57,'今日提醒'!$B$2&gt;$S57),"收尾下滑",IF(AND('今日提醒'!$B$2&gt;=$L57,'今日提醒'!$B$2&lt;=$M57),"节点进行中",IF(AND('今日提醒'!$B$2&gt;$M57,'今日提醒'!$B$2&lt;=$S57),"节后清尾",IF(AND('今日提醒'!$B$2&gt;=$R57,'今日提醒'!$B$2&lt;=$S57),"高频跟进",IF(AND('今日提醒'!$B$2&gt;=($R57-14),'今日提醒'!$B$2&lt;$R57,'今日提醒'!$B$2&lt;$L57),"临近高频",IF(AND(OR($A57="Chinese New Year",$A57="Super Bowl",$A57="Valentine's Day",$A57="Valentine Week",$A57="St. Patrick's Day",$A57="Easter",$A57="Graduation Season",$A57="Prom Season",$A57="Teacher Appreciation Week",$A57="Mother's Day",$A57="Memorial Day",$A57="Father's Day",$A57="Independence Day",$A57="Back-to-School Season",$A57="Labor Day",$A57="Halloween",$A57="Thanksgiving",$A57="Black Friday / Cyber Monday",$A57="Christmas",$A57="New Year's Eve / New Year Season"),'今日提醒'!$B$2&gt;=($R57-30),'今日提醒'!$B$2&lt;$R57,'今日提醒'!$B$2&lt;$L57),"大节气提前",IF(AND('今日提醒'!$B$2&gt;=$P57,'今日提醒'!$B$2&lt;=$Q57),"二次排查",IF(AND(OR($A57="Chinese New Year",$A57="Super Bowl",$A57="Valentine's Day",$A57="Valentine Week",$A57="St. Patrick's Day",$A57="Easter",$A57="Graduation Season",$A57="Prom Season",$A57="Teacher Appreciation Week",$A57="Mother's Day",$A57="Memorial Day",$A57="Father's Day",$A57="Independence Day",$A57="Back-to-School Season",$A57="Labor Day",$A57="Halloween",$A57="Thanksgiving",$A57="Black Friday / Cyber Monday",$A57="Christmas",$A57="New Year's Eve / New Year Season"),'今日提醒'!$B$2&gt;=($P57-14),'今日提醒'!$B$2&lt;$P57,'今日提醒'!$B$2&lt;$L57),"临近二次",IF(AND('今日提醒'!$B$2&gt;=$N57,'今日提醒'!$B$2&lt;=$O57),"一次排查",IF('今日提醒'!$B$2&lt;$N57,"未到排查",IF('今日提醒'!$B$2&lt;$L57,"等待下一窗口","已过"))))))))))))</x:f>
        <x:v>已过</x:v>
      </x:c>
      <x:c r="K57" s="41" t="str">
        <x:f>IF($J57="收尾下滑","主购买/高频窗口已过，流量可能走弱：不要盲目加预算或新建组；优先看库存压力、ACOS、广告占比、自然单，仅保留高转化词，计算清货/留仓。",IF($J57="节后清尾","节点已过但仍在清尾窗口：控低效词、降无效预算，复盘转化词；库存重则算清货，库存轻则吃完尾流。",IF($J57="节点当日","今天就是节点当日：优先看转化、库存承接、广告花费和尾流风险；可以吃最后一波有效流量，但不要再大范围新建或盲目加预算。",IF($J57="节点进行中","当前在节点/销售窗口内：这是进行中，不是预热；重点看销量、库存承接、广告花费、转化和是否已出现流量下滑。",IF($J57="高频跟进","今天在高频跟进窗口：头部SKU每日看；重点看高库存、高花费、断货风险和ACOS。",IF($J57="临近高频","高频窗口即将开始：今天先预查广告结构、关键词/ASIN、Listing埋词、库存承接和预算，避免临近节点再补。",IF($J57="大节气提前","大节气提前窗口：不要等高频当天再动；今天先锁定主推SKU、库存承接、Listing节日词、广告结构和预算上限，低相关/低库存产品不硬推。",IF($J57="二次排查","今天在二次排查窗口：补广告结构、关键词/ASIN、预算和Listing埋词。",IF($J57="临近二次","大节气二次排查即将开始：提前准备词/ASIN/图片/价格/促销，不等窗口当天才补结构。",IF($J57="一次排查","今天在一次排查窗口：先筛SKU，看历史动销、库存、利润和Listing匹配。",IF($J57="未到排查","暂不处理，等一次排查窗口。",IF($J57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57" s="42" t="n">
        <x:v>46148</x:v>
      </x:c>
      <x:c r="M57" s="42" t="n">
        <x:v>46154</x:v>
      </x:c>
      <x:c r="N57" s="42" t="n">
        <x:v>46073</x:v>
      </x:c>
      <x:c r="O57" s="42" t="n">
        <x:v>46088</x:v>
      </x:c>
      <x:c r="P57" s="42" t="n">
        <x:v>46108</x:v>
      </x:c>
      <x:c r="Q57" s="42" t="n">
        <x:v>46118</x:v>
      </x:c>
      <x:c r="R57" s="42" t="n">
        <x:v>46134</x:v>
      </x:c>
      <x:c r="S57" s="42" t="n">
        <x:v>46154</x:v>
      </x:c>
      <x:c r="T57" s="43" t="n">
        <x:f>$L57-'今日提醒'!$B$2</x:f>
        <x:v>-19</x:v>
      </x:c>
      <x:c r="U57" s="74" t="n">
        <x:f>IF(OR($J57="收尾下滑",$J57="节后清尾",$J57="节点当日",$J57="节点进行中",$J57="高频跟进",$J57="临近高频",$J57="大节气提前",$J57="二次排查",$J57="临近二次",$J57="一次排查"),IF($J57="收尾下滑",1,IF($J57="节后清尾",2,IF($J57="节点当日",3,IF($J57="节点进行中",4,IF($J57="高频跟进",5,IF($J57="临近高频",6,IF($J57="大节气提前",7,IF($J57="二次排查",8,IF($J57="临近二次",9,10)))))))))*100000+ROW(),99999999+ROW())</x:f>
        <x:v>100000056</x:v>
      </x:c>
      <x:c r="V57" s="15" t="str">
        <x:f>IF(OR($J57="收尾下滑",$J57="节后清尾"),"风险/止损",IF($J57="节点当日","机会/当日冲刺",IF($J57="节点进行中","机会/进行中",IF($J57="高频跟进","机会/高频",IF($J57="大节气提前","机会/大节气提前",IF(OR($J57="临近高频",$J57="临近二次",$J57="二次排查",$J57="一次排查"),"机会/预热","非今日"))))))</x:f>
        <x:v>非今日</x:v>
      </x:c>
      <x:c r="W57" s="15" t="str">
        <x:f>IF($J57="收尾下滑","控投/清尾/算留仓",IF($J57="节后清尾","节后降投/复盘",IF($J57="节点当日","当日冲刺/控尾流",IF($J57="节点进行中","转化监控/看趋势",IF($J57="高频跟进","放量+控ACOS",IF($J57="大节气提前","提前锁结构/预算",IF($J57="临近高频","预查结构/埋词",IF($J57="临近二次","提前补结构/埋词",IF($J57="二次排查","补结构/补词",IF($J57="一次排查","筛SKU/核库存","暂无"))))))))))</x:f>
        <x:v>暂无</x:v>
      </x:c>
      <x:c r="X57" s="15" t="str">
        <x:f>IF(AND('今日提醒'!$B$2&gt;=$L57,'今日提醒'!$B$2&lt;=$M57,$L57=$M57),"节点当日：不是预热",IF(AND('今日提醒'!$B$2&gt;=$L57,'今日提醒'!$B$2&lt;=$M57,'今日提醒'!$B$2&gt;$S57),"高频已结束但销售窗口未结束：疑似尾期/下滑",IF(AND('今日提醒'!$B$2&gt;$M57,'今日提醒'!$B$2&lt;=$S57),"节点已过但仍在清尾窗口",IF($J57="大节气提前","大节气高频前30天：提前进入主推准备",IF($J57="临近二次","大节气二次排查前14天：提前准备","")))))</x:f>
      </x:c>
    </x:row>
    <x:row r="58" ht="58" hidden="0" customHeight="1">
      <x:c r="A58" s="41" t="str">
        <x:v>National Nurses Day</x:v>
      </x:c>
      <x:c r="B58" s="41" t="str">
        <x:v>全国护士日</x:v>
      </x:c>
      <x:c r="C58" s="41" t="str">
        <x:v>护士周第一天，适合护士节相关感谢礼和社媒促销。</x:v>
      </x:c>
      <x:c r="D58" s="41" t="str">
        <x:v>2026-05-06</x:v>
      </x:c>
      <x:c r="E58" s="41" t="str">
        <x:v>固定日期</x:v>
      </x:c>
      <x:c r="F58" s="41" t="str">
        <x:v>nurse gifts、nurse week bulk gifts、badge reel、杯子、钥匙扣</x:v>
      </x:c>
      <x:c r="G58" s="41" t="str">
        <x:v>2026-03-07 ~ 2026-03-22：先筛匹配SKU、历史销量、库存和利润空间。</x:v>
      </x:c>
      <x:c r="H58" s="41" t="str">
        <x:v>2026-04-06 ~ 2026-04-15：补关键词/ASIN、Listing埋词和广告预算。</x:v>
      </x:c>
      <x:c r="I58" s="41" t="str">
        <x:v>2026-04-22 ~ 2026-05-08：重点SKU每日看，普通SKU每2-3天看。</x:v>
      </x:c>
      <x:c r="J58" s="41" t="str">
        <x:f>IF(AND('今日提醒'!$B$2&gt;=$L58,'今日提醒'!$B$2&lt;=$M58,$L58=$M58),"节点当日",IF(AND('今日提醒'!$B$2&gt;=$L58,'今日提醒'!$B$2&lt;=$M58,'今日提醒'!$B$2&gt;$S58),"收尾下滑",IF(AND('今日提醒'!$B$2&gt;=$L58,'今日提醒'!$B$2&lt;=$M58),"节点进行中",IF(AND('今日提醒'!$B$2&gt;$M58,'今日提醒'!$B$2&lt;=$S58),"节后清尾",IF(AND('今日提醒'!$B$2&gt;=$R58,'今日提醒'!$B$2&lt;=$S58),"高频跟进",IF(AND('今日提醒'!$B$2&gt;=($R58-14),'今日提醒'!$B$2&lt;$R58,'今日提醒'!$B$2&lt;$L58),"临近高频",IF(AND(OR($A58="Chinese New Year",$A58="Super Bowl",$A58="Valentine's Day",$A58="Valentine Week",$A58="St. Patrick's Day",$A58="Easter",$A58="Graduation Season",$A58="Prom Season",$A58="Teacher Appreciation Week",$A58="Mother's Day",$A58="Memorial Day",$A58="Father's Day",$A58="Independence Day",$A58="Back-to-School Season",$A58="Labor Day",$A58="Halloween",$A58="Thanksgiving",$A58="Black Friday / Cyber Monday",$A58="Christmas",$A58="New Year's Eve / New Year Season"),'今日提醒'!$B$2&gt;=($R58-30),'今日提醒'!$B$2&lt;$R58,'今日提醒'!$B$2&lt;$L58),"大节气提前",IF(AND('今日提醒'!$B$2&gt;=$P58,'今日提醒'!$B$2&lt;=$Q58),"二次排查",IF(AND(OR($A58="Chinese New Year",$A58="Super Bowl",$A58="Valentine's Day",$A58="Valentine Week",$A58="St. Patrick's Day",$A58="Easter",$A58="Graduation Season",$A58="Prom Season",$A58="Teacher Appreciation Week",$A58="Mother's Day",$A58="Memorial Day",$A58="Father's Day",$A58="Independence Day",$A58="Back-to-School Season",$A58="Labor Day",$A58="Halloween",$A58="Thanksgiving",$A58="Black Friday / Cyber Monday",$A58="Christmas",$A58="New Year's Eve / New Year Season"),'今日提醒'!$B$2&gt;=($P58-14),'今日提醒'!$B$2&lt;$P58,'今日提醒'!$B$2&lt;$L58),"临近二次",IF(AND('今日提醒'!$B$2&gt;=$N58,'今日提醒'!$B$2&lt;=$O58),"一次排查",IF('今日提醒'!$B$2&lt;$N58,"未到排查",IF('今日提醒'!$B$2&lt;$L58,"等待下一窗口","已过"))))))))))))</x:f>
        <x:v>已过</x:v>
      </x:c>
      <x:c r="K58" s="41" t="str">
        <x:f>IF($J58="收尾下滑","主购买/高频窗口已过，流量可能走弱：不要盲目加预算或新建组；优先看库存压力、ACOS、广告占比、自然单，仅保留高转化词，计算清货/留仓。",IF($J58="节后清尾","节点已过但仍在清尾窗口：控低效词、降无效预算，复盘转化词；库存重则算清货，库存轻则吃完尾流。",IF($J58="节点当日","今天就是节点当日：优先看转化、库存承接、广告花费和尾流风险；可以吃最后一波有效流量，但不要再大范围新建或盲目加预算。",IF($J58="节点进行中","当前在节点/销售窗口内：这是进行中，不是预热；重点看销量、库存承接、广告花费、转化和是否已出现流量下滑。",IF($J58="高频跟进","今天在高频跟进窗口：头部SKU每日看；重点看高库存、高花费、断货风险和ACOS。",IF($J58="临近高频","高频窗口即将开始：今天先预查广告结构、关键词/ASIN、Listing埋词、库存承接和预算，避免临近节点再补。",IF($J58="大节气提前","大节气提前窗口：不要等高频当天再动；今天先锁定主推SKU、库存承接、Listing节日词、广告结构和预算上限，低相关/低库存产品不硬推。",IF($J58="二次排查","今天在二次排查窗口：补广告结构、关键词/ASIN、预算和Listing埋词。",IF($J58="临近二次","大节气二次排查即将开始：提前准备词/ASIN/图片/价格/促销，不等窗口当天才补结构。",IF($J58="一次排查","今天在一次排查窗口：先筛SKU，看历史动销、库存、利润和Listing匹配。",IF($J58="未到排查","暂不处理，等一次排查窗口。",IF($J58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58" s="42" t="n">
        <x:v>46148</x:v>
      </x:c>
      <x:c r="M58" s="42" t="n">
        <x:v>46148</x:v>
      </x:c>
      <x:c r="N58" s="42" t="n">
        <x:v>46088</x:v>
      </x:c>
      <x:c r="O58" s="42" t="n">
        <x:v>46103</x:v>
      </x:c>
      <x:c r="P58" s="42" t="n">
        <x:v>46118</x:v>
      </x:c>
      <x:c r="Q58" s="42" t="n">
        <x:v>46127</x:v>
      </x:c>
      <x:c r="R58" s="42" t="n">
        <x:v>46134</x:v>
      </x:c>
      <x:c r="S58" s="42" t="n">
        <x:v>46150</x:v>
      </x:c>
      <x:c r="T58" s="43" t="n">
        <x:f>$L58-'今日提醒'!$B$2</x:f>
        <x:v>-19</x:v>
      </x:c>
      <x:c r="U58" s="74" t="n">
        <x:f>IF(OR($J58="收尾下滑",$J58="节后清尾",$J58="节点当日",$J58="节点进行中",$J58="高频跟进",$J58="临近高频",$J58="大节气提前",$J58="二次排查",$J58="临近二次",$J58="一次排查"),IF($J58="收尾下滑",1,IF($J58="节后清尾",2,IF($J58="节点当日",3,IF($J58="节点进行中",4,IF($J58="高频跟进",5,IF($J58="临近高频",6,IF($J58="大节气提前",7,IF($J58="二次排查",8,IF($J58="临近二次",9,10)))))))))*100000+ROW(),99999999+ROW())</x:f>
        <x:v>100000057</x:v>
      </x:c>
      <x:c r="V58" s="15" t="str">
        <x:f>IF(OR($J58="收尾下滑",$J58="节后清尾"),"风险/止损",IF($J58="节点当日","机会/当日冲刺",IF($J58="节点进行中","机会/进行中",IF($J58="高频跟进","机会/高频",IF($J58="大节气提前","机会/大节气提前",IF(OR($J58="临近高频",$J58="临近二次",$J58="二次排查",$J58="一次排查"),"机会/预热","非今日"))))))</x:f>
        <x:v>非今日</x:v>
      </x:c>
      <x:c r="W58" s="15" t="str">
        <x:f>IF($J58="收尾下滑","控投/清尾/算留仓",IF($J58="节后清尾","节后降投/复盘",IF($J58="节点当日","当日冲刺/控尾流",IF($J58="节点进行中","转化监控/看趋势",IF($J58="高频跟进","放量+控ACOS",IF($J58="大节气提前","提前锁结构/预算",IF($J58="临近高频","预查结构/埋词",IF($J58="临近二次","提前补结构/埋词",IF($J58="二次排查","补结构/补词",IF($J58="一次排查","筛SKU/核库存","暂无"))))))))))</x:f>
        <x:v>暂无</x:v>
      </x:c>
      <x:c r="X58" s="15" t="str">
        <x:f>IF(AND('今日提醒'!$B$2&gt;=$L58,'今日提醒'!$B$2&lt;=$M58,$L58=$M58),"节点当日：不是预热",IF(AND('今日提醒'!$B$2&gt;=$L58,'今日提醒'!$B$2&lt;=$M58,'今日提醒'!$B$2&gt;$S58),"高频已结束但销售窗口未结束：疑似尾期/下滑",IF(AND('今日提醒'!$B$2&gt;$M58,'今日提醒'!$B$2&lt;=$S58),"节点已过但仍在清尾窗口",IF($J58="大节气提前","大节气高频前30天：提前进入主推准备",IF($J58="临近二次","大节气二次排查前14天：提前准备","")))))</x:f>
      </x:c>
    </x:row>
    <x:row r="59" ht="58" hidden="0" customHeight="1">
      <x:c r="A59" s="41" t="str">
        <x:v>International Nurses Day</x:v>
      </x:c>
      <x:c r="B59" s="41" t="str">
        <x:v>国际护士节</x:v>
      </x:c>
      <x:c r="C59" s="41" t="str">
        <x:v>纪念南丁格尔生日的国际护士节点，适合全球护士礼品。</x:v>
      </x:c>
      <x:c r="D59" s="41" t="str">
        <x:v>2026-05-12</x:v>
      </x:c>
      <x:c r="E59" s="41" t="str">
        <x:v>固定日期</x:v>
      </x:c>
      <x:c r="F59" s="41" t="str">
        <x:v>nurse gifts、nurse week bulk gifts、badge reel、杯子、钥匙扣</x:v>
      </x:c>
      <x:c r="G59" s="41" t="str">
        <x:v>2026-03-13 ~ 2026-03-28：先筛匹配SKU、历史销量、库存和利润空间。</x:v>
      </x:c>
      <x:c r="H59" s="41" t="str">
        <x:v>2026-04-12 ~ 2026-04-21：补关键词/ASIN、Listing埋词和广告预算。</x:v>
      </x:c>
      <x:c r="I59" s="41" t="str">
        <x:v>2026-04-28 ~ 2026-05-14：重点SKU每日看，普通SKU每2-3天看。</x:v>
      </x:c>
      <x:c r="J59" s="41" t="str">
        <x:f>IF(AND('今日提醒'!$B$2&gt;=$L59,'今日提醒'!$B$2&lt;=$M59,$L59=$M59),"节点当日",IF(AND('今日提醒'!$B$2&gt;=$L59,'今日提醒'!$B$2&lt;=$M59,'今日提醒'!$B$2&gt;$S59),"收尾下滑",IF(AND('今日提醒'!$B$2&gt;=$L59,'今日提醒'!$B$2&lt;=$M59),"节点进行中",IF(AND('今日提醒'!$B$2&gt;$M59,'今日提醒'!$B$2&lt;=$S59),"节后清尾",IF(AND('今日提醒'!$B$2&gt;=$R59,'今日提醒'!$B$2&lt;=$S59),"高频跟进",IF(AND('今日提醒'!$B$2&gt;=($R59-14),'今日提醒'!$B$2&lt;$R59,'今日提醒'!$B$2&lt;$L59),"临近高频",IF(AND(OR($A59="Chinese New Year",$A59="Super Bowl",$A59="Valentine's Day",$A59="Valentine Week",$A59="St. Patrick's Day",$A59="Easter",$A59="Graduation Season",$A59="Prom Season",$A59="Teacher Appreciation Week",$A59="Mother's Day",$A59="Memorial Day",$A59="Father's Day",$A59="Independence Day",$A59="Back-to-School Season",$A59="Labor Day",$A59="Halloween",$A59="Thanksgiving",$A59="Black Friday / Cyber Monday",$A59="Christmas",$A59="New Year's Eve / New Year Season"),'今日提醒'!$B$2&gt;=($R59-30),'今日提醒'!$B$2&lt;$R59,'今日提醒'!$B$2&lt;$L59),"大节气提前",IF(AND('今日提醒'!$B$2&gt;=$P59,'今日提醒'!$B$2&lt;=$Q59),"二次排查",IF(AND(OR($A59="Chinese New Year",$A59="Super Bowl",$A59="Valentine's Day",$A59="Valentine Week",$A59="St. Patrick's Day",$A59="Easter",$A59="Graduation Season",$A59="Prom Season",$A59="Teacher Appreciation Week",$A59="Mother's Day",$A59="Memorial Day",$A59="Father's Day",$A59="Independence Day",$A59="Back-to-School Season",$A59="Labor Day",$A59="Halloween",$A59="Thanksgiving",$A59="Black Friday / Cyber Monday",$A59="Christmas",$A59="New Year's Eve / New Year Season"),'今日提醒'!$B$2&gt;=($P59-14),'今日提醒'!$B$2&lt;$P59,'今日提醒'!$B$2&lt;$L59),"临近二次",IF(AND('今日提醒'!$B$2&gt;=$N59,'今日提醒'!$B$2&lt;=$O59),"一次排查",IF('今日提醒'!$B$2&lt;$N59,"未到排查",IF('今日提醒'!$B$2&lt;$L59,"等待下一窗口","已过"))))))))))))</x:f>
        <x:v>已过</x:v>
      </x:c>
      <x:c r="K59" s="41" t="str">
        <x:f>IF($J59="收尾下滑","主购买/高频窗口已过，流量可能走弱：不要盲目加预算或新建组；优先看库存压力、ACOS、广告占比、自然单，仅保留高转化词，计算清货/留仓。",IF($J59="节后清尾","节点已过但仍在清尾窗口：控低效词、降无效预算，复盘转化词；库存重则算清货，库存轻则吃完尾流。",IF($J59="节点当日","今天就是节点当日：优先看转化、库存承接、广告花费和尾流风险；可以吃最后一波有效流量，但不要再大范围新建或盲目加预算。",IF($J59="节点进行中","当前在节点/销售窗口内：这是进行中，不是预热；重点看销量、库存承接、广告花费、转化和是否已出现流量下滑。",IF($J59="高频跟进","今天在高频跟进窗口：头部SKU每日看；重点看高库存、高花费、断货风险和ACOS。",IF($J59="临近高频","高频窗口即将开始：今天先预查广告结构、关键词/ASIN、Listing埋词、库存承接和预算，避免临近节点再补。",IF($J59="大节气提前","大节气提前窗口：不要等高频当天再动；今天先锁定主推SKU、库存承接、Listing节日词、广告结构和预算上限，低相关/低库存产品不硬推。",IF($J59="二次排查","今天在二次排查窗口：补广告结构、关键词/ASIN、预算和Listing埋词。",IF($J59="临近二次","大节气二次排查即将开始：提前准备词/ASIN/图片/价格/促销，不等窗口当天才补结构。",IF($J59="一次排查","今天在一次排查窗口：先筛SKU，看历史动销、库存、利润和Listing匹配。",IF($J59="未到排查","暂不处理，等一次排查窗口。",IF($J59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59" s="42" t="n">
        <x:v>46154</x:v>
      </x:c>
      <x:c r="M59" s="42" t="n">
        <x:v>46154</x:v>
      </x:c>
      <x:c r="N59" s="42" t="n">
        <x:v>46094</x:v>
      </x:c>
      <x:c r="O59" s="42" t="n">
        <x:v>46109</x:v>
      </x:c>
      <x:c r="P59" s="42" t="n">
        <x:v>46124</x:v>
      </x:c>
      <x:c r="Q59" s="42" t="n">
        <x:v>46133</x:v>
      </x:c>
      <x:c r="R59" s="42" t="n">
        <x:v>46140</x:v>
      </x:c>
      <x:c r="S59" s="42" t="n">
        <x:v>46156</x:v>
      </x:c>
      <x:c r="T59" s="43" t="n">
        <x:f>$L59-'今日提醒'!$B$2</x:f>
        <x:v>-13</x:v>
      </x:c>
      <x:c r="U59" s="74" t="n">
        <x:f>IF(OR($J59="收尾下滑",$J59="节后清尾",$J59="节点当日",$J59="节点进行中",$J59="高频跟进",$J59="临近高频",$J59="大节气提前",$J59="二次排查",$J59="临近二次",$J59="一次排查"),IF($J59="收尾下滑",1,IF($J59="节后清尾",2,IF($J59="节点当日",3,IF($J59="节点进行中",4,IF($J59="高频跟进",5,IF($J59="临近高频",6,IF($J59="大节气提前",7,IF($J59="二次排查",8,IF($J59="临近二次",9,10)))))))))*100000+ROW(),99999999+ROW())</x:f>
        <x:v>100000058</x:v>
      </x:c>
      <x:c r="V59" s="15" t="str">
        <x:f>IF(OR($J59="收尾下滑",$J59="节后清尾"),"风险/止损",IF($J59="节点当日","机会/当日冲刺",IF($J59="节点进行中","机会/进行中",IF($J59="高频跟进","机会/高频",IF($J59="大节气提前","机会/大节气提前",IF(OR($J59="临近高频",$J59="临近二次",$J59="二次排查",$J59="一次排查"),"机会/预热","非今日"))))))</x:f>
        <x:v>非今日</x:v>
      </x:c>
      <x:c r="W59" s="15" t="str">
        <x:f>IF($J59="收尾下滑","控投/清尾/算留仓",IF($J59="节后清尾","节后降投/复盘",IF($J59="节点当日","当日冲刺/控尾流",IF($J59="节点进行中","转化监控/看趋势",IF($J59="高频跟进","放量+控ACOS",IF($J59="大节气提前","提前锁结构/预算",IF($J59="临近高频","预查结构/埋词",IF($J59="临近二次","提前补结构/埋词",IF($J59="二次排查","补结构/补词",IF($J59="一次排查","筛SKU/核库存","暂无"))))))))))</x:f>
        <x:v>暂无</x:v>
      </x:c>
      <x:c r="X59" s="15" t="str">
        <x:f>IF(AND('今日提醒'!$B$2&gt;=$L59,'今日提醒'!$B$2&lt;=$M59,$L59=$M59),"节点当日：不是预热",IF(AND('今日提醒'!$B$2&gt;=$L59,'今日提醒'!$B$2&lt;=$M59,'今日提醒'!$B$2&gt;$S59),"高频已结束但销售窗口未结束：疑似尾期/下滑",IF(AND('今日提醒'!$B$2&gt;$M59,'今日提醒'!$B$2&lt;=$S59),"节点已过但仍在清尾窗口",IF($J59="大节气提前","大节气高频前30天：提前进入主推准备",IF($J59="临近二次","大节气二次排查前14天：提前准备","")))))</x:f>
      </x:c>
    </x:row>
    <x:row r="60" ht="58" hidden="0" customHeight="1">
      <x:c r="A60" s="41" t="str">
        <x:v>Staff Appreciation Week</x:v>
      </x:c>
      <x:c r="B60" s="41" t="str">
        <x:v>员工/教职工感谢周</x:v>
      </x:c>
      <x:c r="C60" s="41" t="str">
        <x:v>学校和机构感谢全体工作人员的泛职场节点，适合bulk gifts。</x:v>
      </x:c>
      <x:c r="D60" s="41" t="str">
        <x:v>2026-05-04 ~ 2026-05-08</x:v>
      </x:c>
      <x:c r="E60" s="41" t="str">
        <x:v>区间变动：按5月上旬/教师感谢周邻近窗口</x:v>
      </x:c>
      <x:c r="F60" s="41" t="str">
        <x:v>teacher gifts、staff appreciation bulk gifts、书签/手链/感谢卡</x:v>
      </x:c>
      <x:c r="G60" s="41" t="str">
        <x:v>2026-02-18 ~ 2026-03-05：按职业词筛SKU，核库存、历史动销和礼品适配。</x:v>
      </x:c>
      <x:c r="H60" s="41" t="str">
        <x:v>2026-03-25 ~ 2026-04-04：建/补广告组，补关键词/ASIN，处理低效流量。</x:v>
      </x:c>
      <x:c r="I60" s="41" t="str">
        <x:v>2026-04-20 ~ 2026-05-08：高库存/高花费SKU每日看，其余2-3天看。</x:v>
      </x:c>
      <x:c r="J60" s="41" t="str">
        <x:f>IF(AND('今日提醒'!$B$2&gt;=$L60,'今日提醒'!$B$2&lt;=$M60,$L60=$M60),"节点当日",IF(AND('今日提醒'!$B$2&gt;=$L60,'今日提醒'!$B$2&lt;=$M60,'今日提醒'!$B$2&gt;$S60),"收尾下滑",IF(AND('今日提醒'!$B$2&gt;=$L60,'今日提醒'!$B$2&lt;=$M60),"节点进行中",IF(AND('今日提醒'!$B$2&gt;$M60,'今日提醒'!$B$2&lt;=$S60),"节后清尾",IF(AND('今日提醒'!$B$2&gt;=$R60,'今日提醒'!$B$2&lt;=$S60),"高频跟进",IF(AND('今日提醒'!$B$2&gt;=($R60-14),'今日提醒'!$B$2&lt;$R60,'今日提醒'!$B$2&lt;$L60),"临近高频",IF(AND(OR($A60="Chinese New Year",$A60="Super Bowl",$A60="Valentine's Day",$A60="Valentine Week",$A60="St. Patrick's Day",$A60="Easter",$A60="Graduation Season",$A60="Prom Season",$A60="Teacher Appreciation Week",$A60="Mother's Day",$A60="Memorial Day",$A60="Father's Day",$A60="Independence Day",$A60="Back-to-School Season",$A60="Labor Day",$A60="Halloween",$A60="Thanksgiving",$A60="Black Friday / Cyber Monday",$A60="Christmas",$A60="New Year's Eve / New Year Season"),'今日提醒'!$B$2&gt;=($R60-30),'今日提醒'!$B$2&lt;$R60,'今日提醒'!$B$2&lt;$L60),"大节气提前",IF(AND('今日提醒'!$B$2&gt;=$P60,'今日提醒'!$B$2&lt;=$Q60),"二次排查",IF(AND(OR($A60="Chinese New Year",$A60="Super Bowl",$A60="Valentine's Day",$A60="Valentine Week",$A60="St. Patrick's Day",$A60="Easter",$A60="Graduation Season",$A60="Prom Season",$A60="Teacher Appreciation Week",$A60="Mother's Day",$A60="Memorial Day",$A60="Father's Day",$A60="Independence Day",$A60="Back-to-School Season",$A60="Labor Day",$A60="Halloween",$A60="Thanksgiving",$A60="Black Friday / Cyber Monday",$A60="Christmas",$A60="New Year's Eve / New Year Season"),'今日提醒'!$B$2&gt;=($P60-14),'今日提醒'!$B$2&lt;$P60,'今日提醒'!$B$2&lt;$L60),"临近二次",IF(AND('今日提醒'!$B$2&gt;=$N60,'今日提醒'!$B$2&lt;=$O60),"一次排查",IF('今日提醒'!$B$2&lt;$N60,"未到排查",IF('今日提醒'!$B$2&lt;$L60,"等待下一窗口","已过"))))))))))))</x:f>
        <x:v>已过</x:v>
      </x:c>
      <x:c r="K60" s="41" t="str">
        <x:f>IF($J60="收尾下滑","主购买/高频窗口已过，流量可能走弱：不要盲目加预算或新建组；优先看库存压力、ACOS、广告占比、自然单，仅保留高转化词，计算清货/留仓。",IF($J60="节后清尾","节点已过但仍在清尾窗口：控低效词、降无效预算，复盘转化词；库存重则算清货，库存轻则吃完尾流。",IF($J60="节点当日","今天就是节点当日：优先看转化、库存承接、广告花费和尾流风险；可以吃最后一波有效流量，但不要再大范围新建或盲目加预算。",IF($J60="节点进行中","当前在节点/销售窗口内：这是进行中，不是预热；重点看销量、库存承接、广告花费、转化和是否已出现流量下滑。",IF($J60="高频跟进","今天在高频跟进窗口：头部SKU每日看；重点看高库存、高花费、断货风险和ACOS。",IF($J60="临近高频","高频窗口即将开始：今天先预查广告结构、关键词/ASIN、Listing埋词、库存承接和预算，避免临近节点再补。",IF($J60="大节气提前","大节气提前窗口：不要等高频当天再动；今天先锁定主推SKU、库存承接、Listing节日词、广告结构和预算上限，低相关/低库存产品不硬推。",IF($J60="二次排查","今天在二次排查窗口：补广告结构、关键词/ASIN、预算和Listing埋词。",IF($J60="临近二次","大节气二次排查即将开始：提前准备词/ASIN/图片/价格/促销，不等窗口当天才补结构。",IF($J60="一次排查","今天在一次排查窗口：先筛SKU，看历史动销、库存、利润和Listing匹配。",IF($J60="未到排查","暂不处理，等一次排查窗口。",IF($J60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60" s="42" t="n">
        <x:v>46146</x:v>
      </x:c>
      <x:c r="M60" s="42" t="n">
        <x:v>46150</x:v>
      </x:c>
      <x:c r="N60" s="42" t="n">
        <x:v>46071</x:v>
      </x:c>
      <x:c r="O60" s="42" t="n">
        <x:v>46086</x:v>
      </x:c>
      <x:c r="P60" s="42" t="n">
        <x:v>46106</x:v>
      </x:c>
      <x:c r="Q60" s="42" t="n">
        <x:v>46116</x:v>
      </x:c>
      <x:c r="R60" s="42" t="n">
        <x:v>46132</x:v>
      </x:c>
      <x:c r="S60" s="42" t="n">
        <x:v>46150</x:v>
      </x:c>
      <x:c r="T60" s="43" t="n">
        <x:f>$L60-'今日提醒'!$B$2</x:f>
        <x:v>-21</x:v>
      </x:c>
      <x:c r="U60" s="74" t="n">
        <x:f>IF(OR($J60="收尾下滑",$J60="节后清尾",$J60="节点当日",$J60="节点进行中",$J60="高频跟进",$J60="临近高频",$J60="大节气提前",$J60="二次排查",$J60="临近二次",$J60="一次排查"),IF($J60="收尾下滑",1,IF($J60="节后清尾",2,IF($J60="节点当日",3,IF($J60="节点进行中",4,IF($J60="高频跟进",5,IF($J60="临近高频",6,IF($J60="大节气提前",7,IF($J60="二次排查",8,IF($J60="临近二次",9,10)))))))))*100000+ROW(),99999999+ROW())</x:f>
        <x:v>100000059</x:v>
      </x:c>
      <x:c r="V60" s="15" t="str">
        <x:f>IF(OR($J60="收尾下滑",$J60="节后清尾"),"风险/止损",IF($J60="节点当日","机会/当日冲刺",IF($J60="节点进行中","机会/进行中",IF($J60="高频跟进","机会/高频",IF($J60="大节气提前","机会/大节气提前",IF(OR($J60="临近高频",$J60="临近二次",$J60="二次排查",$J60="一次排查"),"机会/预热","非今日"))))))</x:f>
        <x:v>非今日</x:v>
      </x:c>
      <x:c r="W60" s="15" t="str">
        <x:f>IF($J60="收尾下滑","控投/清尾/算留仓",IF($J60="节后清尾","节后降投/复盘",IF($J60="节点当日","当日冲刺/控尾流",IF($J60="节点进行中","转化监控/看趋势",IF($J60="高频跟进","放量+控ACOS",IF($J60="大节气提前","提前锁结构/预算",IF($J60="临近高频","预查结构/埋词",IF($J60="临近二次","提前补结构/埋词",IF($J60="二次排查","补结构/补词",IF($J60="一次排查","筛SKU/核库存","暂无"))))))))))</x:f>
        <x:v>暂无</x:v>
      </x:c>
      <x:c r="X60" s="15" t="str">
        <x:f>IF(AND('今日提醒'!$B$2&gt;=$L60,'今日提醒'!$B$2&lt;=$M60,$L60=$M60),"节点当日：不是预热",IF(AND('今日提醒'!$B$2&gt;=$L60,'今日提醒'!$B$2&lt;=$M60,'今日提醒'!$B$2&gt;$S60),"高频已结束但销售窗口未结束：疑似尾期/下滑",IF(AND('今日提醒'!$B$2&gt;$M60,'今日提醒'!$B$2&lt;=$S60),"节点已过但仍在清尾窗口",IF($J60="大节气提前","大节气高频前30天：提前进入主推准备",IF($J60="临近二次","大节气二次排查前14天：提前准备","")))))</x:f>
      </x:c>
    </x:row>
    <x:row r="61" ht="58" hidden="0" customHeight="1">
      <x:c r="A61" s="41" t="str">
        <x:v>Mother's Day</x:v>
      </x:c>
      <x:c r="B61" s="41" t="str">
        <x:v>母亲节</x:v>
      </x:c>
      <x:c r="C61" s="41" t="str">
        <x:v>美国上半年最强礼品节点之一，适合mom、grandma、wife、Christian mom等礼品。</x:v>
      </x:c>
      <x:c r="D61" s="41" t="str">
        <x:v>2026-05-10</x:v>
      </x:c>
      <x:c r="E61" s="41" t="str">
        <x:v>每年变动</x:v>
      </x:c>
      <x:c r="F61" s="41" t="str">
        <x:v>mom gifts、christian mom gifts、首饰/手链、感谢卡、家居小礼</x:v>
      </x:c>
      <x:c r="G61" s="41" t="str">
        <x:v>2026-01-10 ~ 2026-02-09：先看历史销量、库存/FBA承接、是否需要改Listing。</x:v>
      </x:c>
      <x:c r="H61" s="41" t="str">
        <x:v>2026-03-11 ~ 2026-03-26：广告结构、关键词/ASIN、标题主图必须基本到位。</x:v>
      </x:c>
      <x:c r="I61" s="41" t="str">
        <x:v>2026-04-19 ~ 2026-05-13：头部SKU每日看，过后及时降投/清尾。</x:v>
      </x:c>
      <x:c r="J61" s="41" t="str">
        <x:f>IF(AND('今日提醒'!$B$2&gt;=$L61,'今日提醒'!$B$2&lt;=$M61,$L61=$M61),"节点当日",IF(AND('今日提醒'!$B$2&gt;=$L61,'今日提醒'!$B$2&lt;=$M61,'今日提醒'!$B$2&gt;$S61),"收尾下滑",IF(AND('今日提醒'!$B$2&gt;=$L61,'今日提醒'!$B$2&lt;=$M61),"节点进行中",IF(AND('今日提醒'!$B$2&gt;$M61,'今日提醒'!$B$2&lt;=$S61),"节后清尾",IF(AND('今日提醒'!$B$2&gt;=$R61,'今日提醒'!$B$2&lt;=$S61),"高频跟进",IF(AND('今日提醒'!$B$2&gt;=($R61-14),'今日提醒'!$B$2&lt;$R61,'今日提醒'!$B$2&lt;$L61),"临近高频",IF(AND(OR($A61="Chinese New Year",$A61="Super Bowl",$A61="Valentine's Day",$A61="Valentine Week",$A61="St. Patrick's Day",$A61="Easter",$A61="Graduation Season",$A61="Prom Season",$A61="Teacher Appreciation Week",$A61="Mother's Day",$A61="Memorial Day",$A61="Father's Day",$A61="Independence Day",$A61="Back-to-School Season",$A61="Labor Day",$A61="Halloween",$A61="Thanksgiving",$A61="Black Friday / Cyber Monday",$A61="Christmas",$A61="New Year's Eve / New Year Season"),'今日提醒'!$B$2&gt;=($R61-30),'今日提醒'!$B$2&lt;$R61,'今日提醒'!$B$2&lt;$L61),"大节气提前",IF(AND('今日提醒'!$B$2&gt;=$P61,'今日提醒'!$B$2&lt;=$Q61),"二次排查",IF(AND(OR($A61="Chinese New Year",$A61="Super Bowl",$A61="Valentine's Day",$A61="Valentine Week",$A61="St. Patrick's Day",$A61="Easter",$A61="Graduation Season",$A61="Prom Season",$A61="Teacher Appreciation Week",$A61="Mother's Day",$A61="Memorial Day",$A61="Father's Day",$A61="Independence Day",$A61="Back-to-School Season",$A61="Labor Day",$A61="Halloween",$A61="Thanksgiving",$A61="Black Friday / Cyber Monday",$A61="Christmas",$A61="New Year's Eve / New Year Season"),'今日提醒'!$B$2&gt;=($P61-14),'今日提醒'!$B$2&lt;$P61,'今日提醒'!$B$2&lt;$L61),"临近二次",IF(AND('今日提醒'!$B$2&gt;=$N61,'今日提醒'!$B$2&lt;=$O61),"一次排查",IF('今日提醒'!$B$2&lt;$N61,"未到排查",IF('今日提醒'!$B$2&lt;$L61,"等待下一窗口","已过"))))))))))))</x:f>
        <x:v>已过</x:v>
      </x:c>
      <x:c r="K61" s="41" t="str">
        <x:f>IF($J61="收尾下滑","主购买/高频窗口已过，流量可能走弱：不要盲目加预算或新建组；优先看库存压力、ACOS、广告占比、自然单，仅保留高转化词，计算清货/留仓。",IF($J61="节后清尾","节点已过但仍在清尾窗口：控低效词、降无效预算，复盘转化词；库存重则算清货，库存轻则吃完尾流。",IF($J61="节点当日","今天就是节点当日：优先看转化、库存承接、广告花费和尾流风险；可以吃最后一波有效流量，但不要再大范围新建或盲目加预算。",IF($J61="节点进行中","当前在节点/销售窗口内：这是进行中，不是预热；重点看销量、库存承接、广告花费、转化和是否已出现流量下滑。",IF($J61="高频跟进","今天在高频跟进窗口：头部SKU每日看；重点看高库存、高花费、断货风险和ACOS。",IF($J61="临近高频","高频窗口即将开始：今天先预查广告结构、关键词/ASIN、Listing埋词、库存承接和预算，避免临近节点再补。",IF($J61="大节气提前","大节气提前窗口：不要等高频当天再动；今天先锁定主推SKU、库存承接、Listing节日词、广告结构和预算上限，低相关/低库存产品不硬推。",IF($J61="二次排查","今天在二次排查窗口：补广告结构、关键词/ASIN、预算和Listing埋词。",IF($J61="临近二次","大节气二次排查即将开始：提前准备词/ASIN/图片/价格/促销，不等窗口当天才补结构。",IF($J61="一次排查","今天在一次排查窗口：先筛SKU，看历史动销、库存、利润和Listing匹配。",IF($J61="未到排查","暂不处理，等一次排查窗口。",IF($J61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61" s="42" t="n">
        <x:v>46152</x:v>
      </x:c>
      <x:c r="M61" s="42" t="n">
        <x:v>46152</x:v>
      </x:c>
      <x:c r="N61" s="42" t="n">
        <x:v>46032</x:v>
      </x:c>
      <x:c r="O61" s="42" t="n">
        <x:v>46062</x:v>
      </x:c>
      <x:c r="P61" s="42" t="n">
        <x:v>46092</x:v>
      </x:c>
      <x:c r="Q61" s="42" t="n">
        <x:v>46107</x:v>
      </x:c>
      <x:c r="R61" s="42" t="n">
        <x:v>46131</x:v>
      </x:c>
      <x:c r="S61" s="42" t="n">
        <x:v>46155</x:v>
      </x:c>
      <x:c r="T61" s="43" t="n">
        <x:f>$L61-'今日提醒'!$B$2</x:f>
        <x:v>-15</x:v>
      </x:c>
      <x:c r="U61" s="74" t="n">
        <x:f>IF(OR($J61="收尾下滑",$J61="节后清尾",$J61="节点当日",$J61="节点进行中",$J61="高频跟进",$J61="临近高频",$J61="大节气提前",$J61="二次排查",$J61="临近二次",$J61="一次排查"),IF($J61="收尾下滑",1,IF($J61="节后清尾",2,IF($J61="节点当日",3,IF($J61="节点进行中",4,IF($J61="高频跟进",5,IF($J61="临近高频",6,IF($J61="大节气提前",7,IF($J61="二次排查",8,IF($J61="临近二次",9,10)))))))))*100000+ROW(),99999999+ROW())</x:f>
        <x:v>100000060</x:v>
      </x:c>
      <x:c r="V61" s="15" t="str">
        <x:f>IF(OR($J61="收尾下滑",$J61="节后清尾"),"风险/止损",IF($J61="节点当日","机会/当日冲刺",IF($J61="节点进行中","机会/进行中",IF($J61="高频跟进","机会/高频",IF($J61="大节气提前","机会/大节气提前",IF(OR($J61="临近高频",$J61="临近二次",$J61="二次排查",$J61="一次排查"),"机会/预热","非今日"))))))</x:f>
        <x:v>非今日</x:v>
      </x:c>
      <x:c r="W61" s="15" t="str">
        <x:f>IF($J61="收尾下滑","控投/清尾/算留仓",IF($J61="节后清尾","节后降投/复盘",IF($J61="节点当日","当日冲刺/控尾流",IF($J61="节点进行中","转化监控/看趋势",IF($J61="高频跟进","放量+控ACOS",IF($J61="大节气提前","提前锁结构/预算",IF($J61="临近高频","预查结构/埋词",IF($J61="临近二次","提前补结构/埋词",IF($J61="二次排查","补结构/补词",IF($J61="一次排查","筛SKU/核库存","暂无"))))))))))</x:f>
        <x:v>暂无</x:v>
      </x:c>
      <x:c r="X61" s="15" t="str">
        <x:f>IF(AND('今日提醒'!$B$2&gt;=$L61,'今日提醒'!$B$2&lt;=$M61,$L61=$M61),"节点当日：不是预热",IF(AND('今日提醒'!$B$2&gt;=$L61,'今日提醒'!$B$2&lt;=$M61,'今日提醒'!$B$2&gt;$S61),"高频已结束但销售窗口未结束：疑似尾期/下滑",IF(AND('今日提醒'!$B$2&gt;$M61,'今日提醒'!$B$2&lt;=$S61),"节点已过但仍在清尾窗口",IF($J61="大节气提前","大节气高频前30天：提前进入主推准备",IF($J61="临近二次","大节气二次排查前14天：提前准备","")))))</x:f>
      </x:c>
    </x:row>
    <x:row r="62" ht="58" hidden="0" customHeight="1">
      <x:c r="A62" s="41" t="str">
        <x:v>National Police Week</x:v>
      </x:c>
      <x:c r="B62" s="41" t="str">
        <x:v>全国警察周</x:v>
      </x:c>
      <x:c r="C62" s="41" t="str">
        <x:v>纪念执法人员贡献与牺牲，适合police officer感谢礼。</x:v>
      </x:c>
      <x:c r="D62" s="41" t="str">
        <x:v>2026-05-10 ~ 2026-05-16</x:v>
      </x:c>
      <x:c r="E62" s="41" t="str">
        <x:v>每年变动</x:v>
      </x:c>
      <x:c r="F62" s="41" t="str">
        <x:v>police officer gifts、law enforcement感谢礼、patriotic keychain</x:v>
      </x:c>
      <x:c r="G62" s="41" t="str">
        <x:v>2026-02-24 ~ 2026-03-11：按职业词筛SKU，核库存、历史动销和礼品适配。</x:v>
      </x:c>
      <x:c r="H62" s="41" t="str">
        <x:v>2026-03-31 ~ 2026-04-10：建/补广告组，补关键词/ASIN，处理低效流量。</x:v>
      </x:c>
      <x:c r="I62" s="41" t="str">
        <x:v>2026-04-26 ~ 2026-05-16：高库存/高花费SKU每日看，其余2-3天看。</x:v>
      </x:c>
      <x:c r="J62" s="41" t="str">
        <x:f>IF(AND('今日提醒'!$B$2&gt;=$L62,'今日提醒'!$B$2&lt;=$M62,$L62=$M62),"节点当日",IF(AND('今日提醒'!$B$2&gt;=$L62,'今日提醒'!$B$2&lt;=$M62,'今日提醒'!$B$2&gt;$S62),"收尾下滑",IF(AND('今日提醒'!$B$2&gt;=$L62,'今日提醒'!$B$2&lt;=$M62),"节点进行中",IF(AND('今日提醒'!$B$2&gt;$M62,'今日提醒'!$B$2&lt;=$S62),"节后清尾",IF(AND('今日提醒'!$B$2&gt;=$R62,'今日提醒'!$B$2&lt;=$S62),"高频跟进",IF(AND('今日提醒'!$B$2&gt;=($R62-14),'今日提醒'!$B$2&lt;$R62,'今日提醒'!$B$2&lt;$L62),"临近高频",IF(AND(OR($A62="Chinese New Year",$A62="Super Bowl",$A62="Valentine's Day",$A62="Valentine Week",$A62="St. Patrick's Day",$A62="Easter",$A62="Graduation Season",$A62="Prom Season",$A62="Teacher Appreciation Week",$A62="Mother's Day",$A62="Memorial Day",$A62="Father's Day",$A62="Independence Day",$A62="Back-to-School Season",$A62="Labor Day",$A62="Halloween",$A62="Thanksgiving",$A62="Black Friday / Cyber Monday",$A62="Christmas",$A62="New Year's Eve / New Year Season"),'今日提醒'!$B$2&gt;=($R62-30),'今日提醒'!$B$2&lt;$R62,'今日提醒'!$B$2&lt;$L62),"大节气提前",IF(AND('今日提醒'!$B$2&gt;=$P62,'今日提醒'!$B$2&lt;=$Q62),"二次排查",IF(AND(OR($A62="Chinese New Year",$A62="Super Bowl",$A62="Valentine's Day",$A62="Valentine Week",$A62="St. Patrick's Day",$A62="Easter",$A62="Graduation Season",$A62="Prom Season",$A62="Teacher Appreciation Week",$A62="Mother's Day",$A62="Memorial Day",$A62="Father's Day",$A62="Independence Day",$A62="Back-to-School Season",$A62="Labor Day",$A62="Halloween",$A62="Thanksgiving",$A62="Black Friday / Cyber Monday",$A62="Christmas",$A62="New Year's Eve / New Year Season"),'今日提醒'!$B$2&gt;=($P62-14),'今日提醒'!$B$2&lt;$P62,'今日提醒'!$B$2&lt;$L62),"临近二次",IF(AND('今日提醒'!$B$2&gt;=$N62,'今日提醒'!$B$2&lt;=$O62),"一次排查",IF('今日提醒'!$B$2&lt;$N62,"未到排查",IF('今日提醒'!$B$2&lt;$L62,"等待下一窗口","已过"))))))))))))</x:f>
        <x:v>已过</x:v>
      </x:c>
      <x:c r="K62" s="41" t="str">
        <x:f>IF($J62="收尾下滑","主购买/高频窗口已过，流量可能走弱：不要盲目加预算或新建组；优先看库存压力、ACOS、广告占比、自然单，仅保留高转化词，计算清货/留仓。",IF($J62="节后清尾","节点已过但仍在清尾窗口：控低效词、降无效预算，复盘转化词；库存重则算清货，库存轻则吃完尾流。",IF($J62="节点当日","今天就是节点当日：优先看转化、库存承接、广告花费和尾流风险；可以吃最后一波有效流量，但不要再大范围新建或盲目加预算。",IF($J62="节点进行中","当前在节点/销售窗口内：这是进行中，不是预热；重点看销量、库存承接、广告花费、转化和是否已出现流量下滑。",IF($J62="高频跟进","今天在高频跟进窗口：头部SKU每日看；重点看高库存、高花费、断货风险和ACOS。",IF($J62="临近高频","高频窗口即将开始：今天先预查广告结构、关键词/ASIN、Listing埋词、库存承接和预算，避免临近节点再补。",IF($J62="大节气提前","大节气提前窗口：不要等高频当天再动；今天先锁定主推SKU、库存承接、Listing节日词、广告结构和预算上限，低相关/低库存产品不硬推。",IF($J62="二次排查","今天在二次排查窗口：补广告结构、关键词/ASIN、预算和Listing埋词。",IF($J62="临近二次","大节气二次排查即将开始：提前准备词/ASIN/图片/价格/促销，不等窗口当天才补结构。",IF($J62="一次排查","今天在一次排查窗口：先筛SKU，看历史动销、库存、利润和Listing匹配。",IF($J62="未到排查","暂不处理，等一次排查窗口。",IF($J62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62" s="42" t="n">
        <x:v>46152</x:v>
      </x:c>
      <x:c r="M62" s="42" t="n">
        <x:v>46158</x:v>
      </x:c>
      <x:c r="N62" s="42" t="n">
        <x:v>46077</x:v>
      </x:c>
      <x:c r="O62" s="42" t="n">
        <x:v>46092</x:v>
      </x:c>
      <x:c r="P62" s="42" t="n">
        <x:v>46112</x:v>
      </x:c>
      <x:c r="Q62" s="42" t="n">
        <x:v>46122</x:v>
      </x:c>
      <x:c r="R62" s="42" t="n">
        <x:v>46138</x:v>
      </x:c>
      <x:c r="S62" s="42" t="n">
        <x:v>46158</x:v>
      </x:c>
      <x:c r="T62" s="43" t="n">
        <x:f>$L62-'今日提醒'!$B$2</x:f>
        <x:v>-15</x:v>
      </x:c>
      <x:c r="U62" s="74" t="n">
        <x:f>IF(OR($J62="收尾下滑",$J62="节后清尾",$J62="节点当日",$J62="节点进行中",$J62="高频跟进",$J62="临近高频",$J62="大节气提前",$J62="二次排查",$J62="临近二次",$J62="一次排查"),IF($J62="收尾下滑",1,IF($J62="节后清尾",2,IF($J62="节点当日",3,IF($J62="节点进行中",4,IF($J62="高频跟进",5,IF($J62="临近高频",6,IF($J62="大节气提前",7,IF($J62="二次排查",8,IF($J62="临近二次",9,10)))))))))*100000+ROW(),99999999+ROW())</x:f>
        <x:v>100000061</x:v>
      </x:c>
      <x:c r="V62" s="15" t="str">
        <x:f>IF(OR($J62="收尾下滑",$J62="节后清尾"),"风险/止损",IF($J62="节点当日","机会/当日冲刺",IF($J62="节点进行中","机会/进行中",IF($J62="高频跟进","机会/高频",IF($J62="大节气提前","机会/大节气提前",IF(OR($J62="临近高频",$J62="临近二次",$J62="二次排查",$J62="一次排查"),"机会/预热","非今日"))))))</x:f>
        <x:v>非今日</x:v>
      </x:c>
      <x:c r="W62" s="15" t="str">
        <x:f>IF($J62="收尾下滑","控投/清尾/算留仓",IF($J62="节后清尾","节后降投/复盘",IF($J62="节点当日","当日冲刺/控尾流",IF($J62="节点进行中","转化监控/看趋势",IF($J62="高频跟进","放量+控ACOS",IF($J62="大节气提前","提前锁结构/预算",IF($J62="临近高频","预查结构/埋词",IF($J62="临近二次","提前补结构/埋词",IF($J62="二次排查","补结构/补词",IF($J62="一次排查","筛SKU/核库存","暂无"))))))))))</x:f>
        <x:v>暂无</x:v>
      </x:c>
      <x:c r="X62" s="15" t="str">
        <x:f>IF(AND('今日提醒'!$B$2&gt;=$L62,'今日提醒'!$B$2&lt;=$M62,$L62=$M62),"节点当日：不是预热",IF(AND('今日提醒'!$B$2&gt;=$L62,'今日提醒'!$B$2&lt;=$M62,'今日提醒'!$B$2&gt;$S62),"高频已结束但销售窗口未结束：疑似尾期/下滑",IF(AND('今日提醒'!$B$2&gt;$M62,'今日提醒'!$B$2&lt;=$S62),"节点已过但仍在清尾窗口",IF($J62="大节气提前","大节气高频前30天：提前进入主推准备",IF($J62="临近二次","大节气二次排查前14天：提前准备","")))))</x:f>
      </x:c>
    </x:row>
    <x:row r="63" ht="58" hidden="0" customHeight="1">
      <x:c r="A63" s="41" t="str">
        <x:v>National Hospital Week</x:v>
      </x:c>
      <x:c r="B63" s="41" t="str">
        <x:v>全国医院周</x:v>
      </x:c>
      <x:c r="C63" s="41" t="str">
        <x:v>表彰医院、医疗系统和医护团队，适合healthcare worker、hospital staff appreciation礼品。</x:v>
      </x:c>
      <x:c r="D63" s="41" t="str">
        <x:v>2026-05-10 ~ 2026-05-16</x:v>
      </x:c>
      <x:c r="E63" s="41" t="str">
        <x:v>每年变动</x:v>
      </x:c>
      <x:c r="F63" s="41" t="str">
        <x:v>healthcare worker gifts、hospital staff appreciation、badge reel、钥匙扣、感谢卡</x:v>
      </x:c>
      <x:c r="G63" s="41" t="str">
        <x:v>2026-02-24 ~ 2026-03-11：按职业词筛SKU，核库存、历史动销和礼品适配。</x:v>
      </x:c>
      <x:c r="H63" s="41" t="str">
        <x:v>2026-03-31 ~ 2026-04-10：建/补广告组，补关键词/ASIN，处理低效流量。</x:v>
      </x:c>
      <x:c r="I63" s="41" t="str">
        <x:v>2026-04-26 ~ 2026-05-16：高库存/高花费SKU每日看，其余2-3天看。</x:v>
      </x:c>
      <x:c r="J63" s="41" t="str">
        <x:f>IF(AND('今日提醒'!$B$2&gt;=$L63,'今日提醒'!$B$2&lt;=$M63,$L63=$M63),"节点当日",IF(AND('今日提醒'!$B$2&gt;=$L63,'今日提醒'!$B$2&lt;=$M63,'今日提醒'!$B$2&gt;$S63),"收尾下滑",IF(AND('今日提醒'!$B$2&gt;=$L63,'今日提醒'!$B$2&lt;=$M63),"节点进行中",IF(AND('今日提醒'!$B$2&gt;$M63,'今日提醒'!$B$2&lt;=$S63),"节后清尾",IF(AND('今日提醒'!$B$2&gt;=$R63,'今日提醒'!$B$2&lt;=$S63),"高频跟进",IF(AND('今日提醒'!$B$2&gt;=($R63-14),'今日提醒'!$B$2&lt;$R63,'今日提醒'!$B$2&lt;$L63),"临近高频",IF(AND(OR($A63="Chinese New Year",$A63="Super Bowl",$A63="Valentine's Day",$A63="Valentine Week",$A63="St. Patrick's Day",$A63="Easter",$A63="Graduation Season",$A63="Prom Season",$A63="Teacher Appreciation Week",$A63="Mother's Day",$A63="Memorial Day",$A63="Father's Day",$A63="Independence Day",$A63="Back-to-School Season",$A63="Labor Day",$A63="Halloween",$A63="Thanksgiving",$A63="Black Friday / Cyber Monday",$A63="Christmas",$A63="New Year's Eve / New Year Season"),'今日提醒'!$B$2&gt;=($R63-30),'今日提醒'!$B$2&lt;$R63,'今日提醒'!$B$2&lt;$L63),"大节气提前",IF(AND('今日提醒'!$B$2&gt;=$P63,'今日提醒'!$B$2&lt;=$Q63),"二次排查",IF(AND(OR($A63="Chinese New Year",$A63="Super Bowl",$A63="Valentine's Day",$A63="Valentine Week",$A63="St. Patrick's Day",$A63="Easter",$A63="Graduation Season",$A63="Prom Season",$A63="Teacher Appreciation Week",$A63="Mother's Day",$A63="Memorial Day",$A63="Father's Day",$A63="Independence Day",$A63="Back-to-School Season",$A63="Labor Day",$A63="Halloween",$A63="Thanksgiving",$A63="Black Friday / Cyber Monday",$A63="Christmas",$A63="New Year's Eve / New Year Season"),'今日提醒'!$B$2&gt;=($P63-14),'今日提醒'!$B$2&lt;$P63,'今日提醒'!$B$2&lt;$L63),"临近二次",IF(AND('今日提醒'!$B$2&gt;=$N63,'今日提醒'!$B$2&lt;=$O63),"一次排查",IF('今日提醒'!$B$2&lt;$N63,"未到排查",IF('今日提醒'!$B$2&lt;$L63,"等待下一窗口","已过"))))))))))))</x:f>
        <x:v>已过</x:v>
      </x:c>
      <x:c r="K63" s="41" t="str">
        <x:f>IF($J63="收尾下滑","主购买/高频窗口已过，流量可能走弱：不要盲目加预算或新建组；优先看库存压力、ACOS、广告占比、自然单，仅保留高转化词，计算清货/留仓。",IF($J63="节后清尾","节点已过但仍在清尾窗口：控低效词、降无效预算，复盘转化词；库存重则算清货，库存轻则吃完尾流。",IF($J63="节点当日","今天就是节点当日：优先看转化、库存承接、广告花费和尾流风险；可以吃最后一波有效流量，但不要再大范围新建或盲目加预算。",IF($J63="节点进行中","当前在节点/销售窗口内：这是进行中，不是预热；重点看销量、库存承接、广告花费、转化和是否已出现流量下滑。",IF($J63="高频跟进","今天在高频跟进窗口：头部SKU每日看；重点看高库存、高花费、断货风险和ACOS。",IF($J63="临近高频","高频窗口即将开始：今天先预查广告结构、关键词/ASIN、Listing埋词、库存承接和预算，避免临近节点再补。",IF($J63="大节气提前","大节气提前窗口：不要等高频当天再动；今天先锁定主推SKU、库存承接、Listing节日词、广告结构和预算上限，低相关/低库存产品不硬推。",IF($J63="二次排查","今天在二次排查窗口：补广告结构、关键词/ASIN、预算和Listing埋词。",IF($J63="临近二次","大节气二次排查即将开始：提前准备词/ASIN/图片/价格/促销，不等窗口当天才补结构。",IF($J63="一次排查","今天在一次排查窗口：先筛SKU，看历史动销、库存、利润和Listing匹配。",IF($J63="未到排查","暂不处理，等一次排查窗口。",IF($J63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63" s="42" t="n">
        <x:v>46152</x:v>
      </x:c>
      <x:c r="M63" s="42" t="n">
        <x:v>46158</x:v>
      </x:c>
      <x:c r="N63" s="42" t="n">
        <x:v>46077</x:v>
      </x:c>
      <x:c r="O63" s="42" t="n">
        <x:v>46092</x:v>
      </x:c>
      <x:c r="P63" s="42" t="n">
        <x:v>46112</x:v>
      </x:c>
      <x:c r="Q63" s="42" t="n">
        <x:v>46122</x:v>
      </x:c>
      <x:c r="R63" s="42" t="n">
        <x:v>46138</x:v>
      </x:c>
      <x:c r="S63" s="42" t="n">
        <x:v>46158</x:v>
      </x:c>
      <x:c r="T63" s="43" t="n">
        <x:f>$L63-'今日提醒'!$B$2</x:f>
        <x:v>-15</x:v>
      </x:c>
      <x:c r="U63" s="74" t="n">
        <x:f>IF(OR($J63="收尾下滑",$J63="节后清尾",$J63="节点当日",$J63="节点进行中",$J63="高频跟进",$J63="临近高频",$J63="大节气提前",$J63="二次排查",$J63="临近二次",$J63="一次排查"),IF($J63="收尾下滑",1,IF($J63="节后清尾",2,IF($J63="节点当日",3,IF($J63="节点进行中",4,IF($J63="高频跟进",5,IF($J63="临近高频",6,IF($J63="大节气提前",7,IF($J63="二次排查",8,IF($J63="临近二次",9,10)))))))))*100000+ROW(),99999999+ROW())</x:f>
        <x:v>100000062</x:v>
      </x:c>
      <x:c r="V63" s="15" t="str">
        <x:f>IF(OR($J63="收尾下滑",$J63="节后清尾"),"风险/止损",IF($J63="节点当日","机会/当日冲刺",IF($J63="节点进行中","机会/进行中",IF($J63="高频跟进","机会/高频",IF($J63="大节气提前","机会/大节气提前",IF(OR($J63="临近高频",$J63="临近二次",$J63="二次排查",$J63="一次排查"),"机会/预热","非今日"))))))</x:f>
        <x:v>非今日</x:v>
      </x:c>
      <x:c r="W63" s="15" t="str">
        <x:f>IF($J63="收尾下滑","控投/清尾/算留仓",IF($J63="节后清尾","节后降投/复盘",IF($J63="节点当日","当日冲刺/控尾流",IF($J63="节点进行中","转化监控/看趋势",IF($J63="高频跟进","放量+控ACOS",IF($J63="大节气提前","提前锁结构/预算",IF($J63="临近高频","预查结构/埋词",IF($J63="临近二次","提前补结构/埋词",IF($J63="二次排查","补结构/补词",IF($J63="一次排查","筛SKU/核库存","暂无"))))))))))</x:f>
        <x:v>暂无</x:v>
      </x:c>
      <x:c r="X63" s="15" t="str">
        <x:f>IF(AND('今日提醒'!$B$2&gt;=$L63,'今日提醒'!$B$2&lt;=$M63,$L63=$M63),"节点当日：不是预热",IF(AND('今日提醒'!$B$2&gt;=$L63,'今日提醒'!$B$2&lt;=$M63,'今日提醒'!$B$2&gt;$S63),"高频已结束但销售窗口未结束：疑似尾期/下滑",IF(AND('今日提醒'!$B$2&gt;$M63,'今日提醒'!$B$2&lt;=$S63),"节点已过但仍在清尾窗口",IF($J63="大节气提前","大节气高频前30天：提前进入主推准备",IF($J63="临近二次","大节气二次排查前14天：提前准备","")))))</x:f>
      </x:c>
    </x:row>
    <x:row r="64" ht="58" hidden="0" customHeight="1">
      <x:c r="A64" s="41" t="str">
        <x:v>VBS / Vacation Bible School</x:v>
      </x:c>
      <x:c r="B64" s="41" t="str">
        <x:v>暑期圣经学校</x:v>
      </x:c>
      <x:c r="C64" s="41" t="str">
        <x:v>美国教会儿童暑期活动季，适合基督教小礼品、贴纸、crafts、bulk gifts。</x:v>
      </x:c>
      <x:c r="D64" s="41" t="str">
        <x:v>2026-05-25 ~ 2026-07-31</x:v>
      </x:c>
      <x:c r="E64" s="41" t="str">
        <x:v>区间变动：按教会活动季取常用窗口</x:v>
      </x:c>
      <x:c r="F64" s="41" t="str">
        <x:v>Christian gifts、Bible verse书签/卡片、教会活动礼、pocket hug</x:v>
      </x:c>
      <x:c r="G64" s="41" t="str">
        <x:v>2026-02-24 ~ 2026-03-10：看历史动销起点、库存承接、Listing是否匹配。</x:v>
      </x:c>
      <x:c r="H64" s="41" t="str">
        <x:v>2026-04-10 ~ 2026-04-24：完成关键词/ASIN/主图标题检查，低预算轻测。</x:v>
      </x:c>
      <x:c r="I64" s="41" t="str">
        <x:v>2026-05-11 ~ 2026-06-27：头部SKU每日看，普通SKU每周2次。</x:v>
      </x:c>
      <x:c r="J64" s="41" t="str">
        <x:f>IF(AND('今日提醒'!$B$2&gt;=$L64,'今日提醒'!$B$2&lt;=$M64,$L64=$M64),"节点当日",IF(AND('今日提醒'!$B$2&gt;=$L64,'今日提醒'!$B$2&lt;=$M64,'今日提醒'!$B$2&gt;$S64),"收尾下滑",IF(AND('今日提醒'!$B$2&gt;=$L64,'今日提醒'!$B$2&lt;=$M64),"节点进行中",IF(AND('今日提醒'!$B$2&gt;$M64,'今日提醒'!$B$2&lt;=$S64),"节后清尾",IF(AND('今日提醒'!$B$2&gt;=$R64,'今日提醒'!$B$2&lt;=$S64),"高频跟进",IF(AND('今日提醒'!$B$2&gt;=($R64-14),'今日提醒'!$B$2&lt;$R64,'今日提醒'!$B$2&lt;$L64),"临近高频",IF(AND(OR($A64="Chinese New Year",$A64="Super Bowl",$A64="Valentine's Day",$A64="Valentine Week",$A64="St. Patrick's Day",$A64="Easter",$A64="Graduation Season",$A64="Prom Season",$A64="Teacher Appreciation Week",$A64="Mother's Day",$A64="Memorial Day",$A64="Father's Day",$A64="Independence Day",$A64="Back-to-School Season",$A64="Labor Day",$A64="Halloween",$A64="Thanksgiving",$A64="Black Friday / Cyber Monday",$A64="Christmas",$A64="New Year's Eve / New Year Season"),'今日提醒'!$B$2&gt;=($R64-30),'今日提醒'!$B$2&lt;$R64,'今日提醒'!$B$2&lt;$L64),"大节气提前",IF(AND('今日提醒'!$B$2&gt;=$P64,'今日提醒'!$B$2&lt;=$Q64),"二次排查",IF(AND(OR($A64="Chinese New Year",$A64="Super Bowl",$A64="Valentine's Day",$A64="Valentine Week",$A64="St. Patrick's Day",$A64="Easter",$A64="Graduation Season",$A64="Prom Season",$A64="Teacher Appreciation Week",$A64="Mother's Day",$A64="Memorial Day",$A64="Father's Day",$A64="Independence Day",$A64="Back-to-School Season",$A64="Labor Day",$A64="Halloween",$A64="Thanksgiving",$A64="Black Friday / Cyber Monday",$A64="Christmas",$A64="New Year's Eve / New Year Season"),'今日提醒'!$B$2&gt;=($P64-14),'今日提醒'!$B$2&lt;$P64,'今日提醒'!$B$2&lt;$L64),"临近二次",IF(AND('今日提醒'!$B$2&gt;=$N64,'今日提醒'!$B$2&lt;=$O64),"一次排查",IF('今日提醒'!$B$2&lt;$N64,"未到排查",IF('今日提醒'!$B$2&lt;$L64,"等待下一窗口","已过"))))))))))))</x:f>
        <x:v>节点进行中</x:v>
      </x:c>
      <x:c r="K64" s="41" t="str">
        <x:f>IF($J64="收尾下滑","主购买/高频窗口已过，流量可能走弱：不要盲目加预算或新建组；优先看库存压力、ACOS、广告占比、自然单，仅保留高转化词，计算清货/留仓。",IF($J64="节后清尾","节点已过但仍在清尾窗口：控低效词、降无效预算，复盘转化词；库存重则算清货，库存轻则吃完尾流。",IF($J64="节点当日","今天就是节点当日：优先看转化、库存承接、广告花费和尾流风险；可以吃最后一波有效流量，但不要再大范围新建或盲目加预算。",IF($J64="节点进行中","当前在节点/销售窗口内：这是进行中，不是预热；重点看销量、库存承接、广告花费、转化和是否已出现流量下滑。",IF($J64="高频跟进","今天在高频跟进窗口：头部SKU每日看；重点看高库存、高花费、断货风险和ACOS。",IF($J64="临近高频","高频窗口即将开始：今天先预查广告结构、关键词/ASIN、Listing埋词、库存承接和预算，避免临近节点再补。",IF($J64="大节气提前","大节气提前窗口：不要等高频当天再动；今天先锁定主推SKU、库存承接、Listing节日词、广告结构和预算上限，低相关/低库存产品不硬推。",IF($J64="二次排查","今天在二次排查窗口：补广告结构、关键词/ASIN、预算和Listing埋词。",IF($J64="临近二次","大节气二次排查即将开始：提前准备词/ASIN/图片/价格/促销，不等窗口当天才补结构。",IF($J64="一次排查","今天在一次排查窗口：先筛SKU，看历史动销、库存、利润和Listing匹配。",IF($J64="未到排查","暂不处理，等一次排查窗口。",IF($J64="等待下一窗口","暂不在排查窗口；等高频或节点开始，除非有库存/广告异常。","已过：复盘、降投、清尾或沉淀明年节点。"))))))))))))</x:f>
        <x:v>当前在节点/销售窗口内：这是进行中，不是预热；重点看销量、库存承接、广告花费、转化和是否已出现流量下滑。</x:v>
      </x:c>
      <x:c r="L64" s="42" t="n">
        <x:v>46167</x:v>
      </x:c>
      <x:c r="M64" s="42" t="n">
        <x:v>46234</x:v>
      </x:c>
      <x:c r="N64" s="42" t="n">
        <x:v>46077</x:v>
      </x:c>
      <x:c r="O64" s="42" t="n">
        <x:v>46091</x:v>
      </x:c>
      <x:c r="P64" s="42" t="n">
        <x:v>46122</x:v>
      </x:c>
      <x:c r="Q64" s="42" t="n">
        <x:v>46136</x:v>
      </x:c>
      <x:c r="R64" s="42" t="n">
        <x:v>46153</x:v>
      </x:c>
      <x:c r="S64" s="42" t="n">
        <x:v>46200</x:v>
      </x:c>
      <x:c r="T64" s="43" t="n">
        <x:f>$L64-'今日提醒'!$B$2</x:f>
        <x:v>0</x:v>
      </x:c>
      <x:c r="U64" s="74" t="n">
        <x:f>IF(OR($J64="收尾下滑",$J64="节后清尾",$J64="节点当日",$J64="节点进行中",$J64="高频跟进",$J64="临近高频",$J64="大节气提前",$J64="二次排查",$J64="临近二次",$J64="一次排查"),IF($J64="收尾下滑",1,IF($J64="节后清尾",2,IF($J64="节点当日",3,IF($J64="节点进行中",4,IF($J64="高频跟进",5,IF($J64="临近高频",6,IF($J64="大节气提前",7,IF($J64="二次排查",8,IF($J64="临近二次",9,10)))))))))*100000+ROW(),99999999+ROW())</x:f>
        <x:v>400064</x:v>
      </x:c>
      <x:c r="V64" s="15" t="str">
        <x:f>IF(OR($J64="收尾下滑",$J64="节后清尾"),"风险/止损",IF($J64="节点当日","机会/当日冲刺",IF($J64="节点进行中","机会/进行中",IF($J64="高频跟进","机会/高频",IF($J64="大节气提前","机会/大节气提前",IF(OR($J64="临近高频",$J64="临近二次",$J64="二次排查",$J64="一次排查"),"机会/预热","非今日"))))))</x:f>
        <x:v>机会/进行中</x:v>
      </x:c>
      <x:c r="W64" s="15" t="str">
        <x:f>IF($J64="收尾下滑","控投/清尾/算留仓",IF($J64="节后清尾","节后降投/复盘",IF($J64="节点当日","当日冲刺/控尾流",IF($J64="节点进行中","转化监控/看趋势",IF($J64="高频跟进","放量+控ACOS",IF($J64="大节气提前","提前锁结构/预算",IF($J64="临近高频","预查结构/埋词",IF($J64="临近二次","提前补结构/埋词",IF($J64="二次排查","补结构/补词",IF($J64="一次排查","筛SKU/核库存","暂无"))))))))))</x:f>
        <x:v>转化监控/看趋势</x:v>
      </x:c>
      <x:c r="X64" s="15" t="str">
        <x:f>IF(AND('今日提醒'!$B$2&gt;=$L64,'今日提醒'!$B$2&lt;=$M64,$L64=$M64),"节点当日：不是预热",IF(AND('今日提醒'!$B$2&gt;=$L64,'今日提醒'!$B$2&lt;=$M64,'今日提醒'!$B$2&gt;$S64),"高频已结束但销售窗口未结束：疑似尾期/下滑",IF(AND('今日提醒'!$B$2&gt;$M64,'今日提醒'!$B$2&lt;=$S64),"节点已过但仍在清尾窗口",IF($J64="大节气提前","大节气高频前30天：提前进入主推准备",IF($J64="临近二次","大节气二次排查前14天：提前准备","")))))</x:f>
      </x:c>
    </x:row>
    <x:row r="65" ht="58" hidden="0" customHeight="1">
      <x:c r="A65" s="41" t="str">
        <x:v>World Baking Day</x:v>
      </x:c>
      <x:c r="B65" s="41" t="str">
        <x:v>世界烘焙日</x:v>
      </x:c>
      <x:c r="C65" s="41" t="str">
        <x:v>烘焙爱好者与厨房用品营销节点，适合baking gifts、apron、utensils。</x:v>
      </x:c>
      <x:c r="D65" s="41" t="str">
        <x:v>2026-05-17</x:v>
      </x:c>
      <x:c r="E65" s="41" t="str">
        <x:v>固定日期</x:v>
      </x:c>
      <x:c r="F65" s="41" t="str">
        <x:v>baker gifts、厨房小物、食谱卡、烘焙主题装饰</x:v>
      </x:c>
      <x:c r="G65" s="41" t="str">
        <x:v>2026-03-18 ~ 2026-04-02：先筛匹配SKU、历史销量、库存和利润空间。</x:v>
      </x:c>
      <x:c r="H65" s="41" t="str">
        <x:v>2026-04-17 ~ 2026-04-26：补关键词/ASIN、Listing埋词和广告预算。</x:v>
      </x:c>
      <x:c r="I65" s="41" t="str">
        <x:v>2026-05-03 ~ 2026-05-19：重点SKU每日看，普通SKU每2-3天看。</x:v>
      </x:c>
      <x:c r="J65" s="41" t="str">
        <x:f>IF(AND('今日提醒'!$B$2&gt;=$L65,'今日提醒'!$B$2&lt;=$M65,$L65=$M65),"节点当日",IF(AND('今日提醒'!$B$2&gt;=$L65,'今日提醒'!$B$2&lt;=$M65,'今日提醒'!$B$2&gt;$S65),"收尾下滑",IF(AND('今日提醒'!$B$2&gt;=$L65,'今日提醒'!$B$2&lt;=$M65),"节点进行中",IF(AND('今日提醒'!$B$2&gt;$M65,'今日提醒'!$B$2&lt;=$S65),"节后清尾",IF(AND('今日提醒'!$B$2&gt;=$R65,'今日提醒'!$B$2&lt;=$S65),"高频跟进",IF(AND('今日提醒'!$B$2&gt;=($R65-14),'今日提醒'!$B$2&lt;$R65,'今日提醒'!$B$2&lt;$L65),"临近高频",IF(AND(OR($A65="Chinese New Year",$A65="Super Bowl",$A65="Valentine's Day",$A65="Valentine Week",$A65="St. Patrick's Day",$A65="Easter",$A65="Graduation Season",$A65="Prom Season",$A65="Teacher Appreciation Week",$A65="Mother's Day",$A65="Memorial Day",$A65="Father's Day",$A65="Independence Day",$A65="Back-to-School Season",$A65="Labor Day",$A65="Halloween",$A65="Thanksgiving",$A65="Black Friday / Cyber Monday",$A65="Christmas",$A65="New Year's Eve / New Year Season"),'今日提醒'!$B$2&gt;=($R65-30),'今日提醒'!$B$2&lt;$R65,'今日提醒'!$B$2&lt;$L65),"大节气提前",IF(AND('今日提醒'!$B$2&gt;=$P65,'今日提醒'!$B$2&lt;=$Q65),"二次排查",IF(AND(OR($A65="Chinese New Year",$A65="Super Bowl",$A65="Valentine's Day",$A65="Valentine Week",$A65="St. Patrick's Day",$A65="Easter",$A65="Graduation Season",$A65="Prom Season",$A65="Teacher Appreciation Week",$A65="Mother's Day",$A65="Memorial Day",$A65="Father's Day",$A65="Independence Day",$A65="Back-to-School Season",$A65="Labor Day",$A65="Halloween",$A65="Thanksgiving",$A65="Black Friday / Cyber Monday",$A65="Christmas",$A65="New Year's Eve / New Year Season"),'今日提醒'!$B$2&gt;=($P65-14),'今日提醒'!$B$2&lt;$P65,'今日提醒'!$B$2&lt;$L65),"临近二次",IF(AND('今日提醒'!$B$2&gt;=$N65,'今日提醒'!$B$2&lt;=$O65),"一次排查",IF('今日提醒'!$B$2&lt;$N65,"未到排查",IF('今日提醒'!$B$2&lt;$L65,"等待下一窗口","已过"))))))))))))</x:f>
        <x:v>已过</x:v>
      </x:c>
      <x:c r="K65" s="41" t="str">
        <x:f>IF($J65="收尾下滑","主购买/高频窗口已过，流量可能走弱：不要盲目加预算或新建组；优先看库存压力、ACOS、广告占比、自然单，仅保留高转化词，计算清货/留仓。",IF($J65="节后清尾","节点已过但仍在清尾窗口：控低效词、降无效预算，复盘转化词；库存重则算清货，库存轻则吃完尾流。",IF($J65="节点当日","今天就是节点当日：优先看转化、库存承接、广告花费和尾流风险；可以吃最后一波有效流量，但不要再大范围新建或盲目加预算。",IF($J65="节点进行中","当前在节点/销售窗口内：这是进行中，不是预热；重点看销量、库存承接、广告花费、转化和是否已出现流量下滑。",IF($J65="高频跟进","今天在高频跟进窗口：头部SKU每日看；重点看高库存、高花费、断货风险和ACOS。",IF($J65="临近高频","高频窗口即将开始：今天先预查广告结构、关键词/ASIN、Listing埋词、库存承接和预算，避免临近节点再补。",IF($J65="大节气提前","大节气提前窗口：不要等高频当天再动；今天先锁定主推SKU、库存承接、Listing节日词、广告结构和预算上限，低相关/低库存产品不硬推。",IF($J65="二次排查","今天在二次排查窗口：补广告结构、关键词/ASIN、预算和Listing埋词。",IF($J65="临近二次","大节气二次排查即将开始：提前准备词/ASIN/图片/价格/促销，不等窗口当天才补结构。",IF($J65="一次排查","今天在一次排查窗口：先筛SKU，看历史动销、库存、利润和Listing匹配。",IF($J65="未到排查","暂不处理，等一次排查窗口。",IF($J65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65" s="42" t="n">
        <x:v>46159</x:v>
      </x:c>
      <x:c r="M65" s="42" t="n">
        <x:v>46159</x:v>
      </x:c>
      <x:c r="N65" s="42" t="n">
        <x:v>46099</x:v>
      </x:c>
      <x:c r="O65" s="42" t="n">
        <x:v>46114</x:v>
      </x:c>
      <x:c r="P65" s="42" t="n">
        <x:v>46129</x:v>
      </x:c>
      <x:c r="Q65" s="42" t="n">
        <x:v>46138</x:v>
      </x:c>
      <x:c r="R65" s="42" t="n">
        <x:v>46145</x:v>
      </x:c>
      <x:c r="S65" s="42" t="n">
        <x:v>46161</x:v>
      </x:c>
      <x:c r="T65" s="43" t="n">
        <x:f>$L65-'今日提醒'!$B$2</x:f>
        <x:v>-8</x:v>
      </x:c>
      <x:c r="U65" s="74" t="n">
        <x:f>IF(OR($J65="收尾下滑",$J65="节后清尾",$J65="节点当日",$J65="节点进行中",$J65="高频跟进",$J65="临近高频",$J65="大节气提前",$J65="二次排查",$J65="临近二次",$J65="一次排查"),IF($J65="收尾下滑",1,IF($J65="节后清尾",2,IF($J65="节点当日",3,IF($J65="节点进行中",4,IF($J65="高频跟进",5,IF($J65="临近高频",6,IF($J65="大节气提前",7,IF($J65="二次排查",8,IF($J65="临近二次",9,10)))))))))*100000+ROW(),99999999+ROW())</x:f>
        <x:v>100000064</x:v>
      </x:c>
      <x:c r="V65" s="15" t="str">
        <x:f>IF(OR($J65="收尾下滑",$J65="节后清尾"),"风险/止损",IF($J65="节点当日","机会/当日冲刺",IF($J65="节点进行中","机会/进行中",IF($J65="高频跟进","机会/高频",IF($J65="大节气提前","机会/大节气提前",IF(OR($J65="临近高频",$J65="临近二次",$J65="二次排查",$J65="一次排查"),"机会/预热","非今日"))))))</x:f>
        <x:v>非今日</x:v>
      </x:c>
      <x:c r="W65" s="15" t="str">
        <x:f>IF($J65="收尾下滑","控投/清尾/算留仓",IF($J65="节后清尾","节后降投/复盘",IF($J65="节点当日","当日冲刺/控尾流",IF($J65="节点进行中","转化监控/看趋势",IF($J65="高频跟进","放量+控ACOS",IF($J65="大节气提前","提前锁结构/预算",IF($J65="临近高频","预查结构/埋词",IF($J65="临近二次","提前补结构/埋词",IF($J65="二次排查","补结构/补词",IF($J65="一次排查","筛SKU/核库存","暂无"))))))))))</x:f>
        <x:v>暂无</x:v>
      </x:c>
      <x:c r="X65" s="15" t="str">
        <x:f>IF(AND('今日提醒'!$B$2&gt;=$L65,'今日提醒'!$B$2&lt;=$M65,$L65=$M65),"节点当日：不是预热",IF(AND('今日提醒'!$B$2&gt;=$L65,'今日提醒'!$B$2&lt;=$M65,'今日提醒'!$B$2&gt;$S65),"高频已结束但销售窗口未结束：疑似尾期/下滑",IF(AND('今日提醒'!$B$2&gt;$M65,'今日提醒'!$B$2&lt;=$S65),"节点已过但仍在清尾窗口",IF($J65="大节气提前","大节气高频前30天：提前进入主推准备",IF($J65="临近二次","大节气二次排查前14天：提前准备","")))))</x:f>
      </x:c>
    </x:row>
    <x:row r="66" ht="58" hidden="0" customHeight="1">
      <x:c r="A66" s="41" t="str">
        <x:v>National EMS Week</x:v>
      </x:c>
      <x:c r="B66" s="41" t="str">
        <x:v>全国急救医疗服务周</x:v>
      </x:c>
      <x:c r="C66" s="41" t="str">
        <x:v>表彰EMT、paramedic和急救医疗服务人员，适合first responder、EMS appreciation礼品。</x:v>
      </x:c>
      <x:c r="D66" s="41" t="str">
        <x:v>2026-05-17 ~ 2026-05-23</x:v>
      </x:c>
      <x:c r="E66" s="41" t="str">
        <x:v>每年变动</x:v>
      </x:c>
      <x:c r="F66" s="41" t="str">
        <x:v>EMT/paramedic gifts、first responder感谢礼、钥匙扣</x:v>
      </x:c>
      <x:c r="G66" s="41" t="str">
        <x:v>2026-03-03 ~ 2026-03-18：按职业词筛SKU，核库存、历史动销和礼品适配。</x:v>
      </x:c>
      <x:c r="H66" s="41" t="str">
        <x:v>2026-04-07 ~ 2026-04-17：建/补广告组，补关键词/ASIN，处理低效流量。</x:v>
      </x:c>
      <x:c r="I66" s="41" t="str">
        <x:v>2026-05-03 ~ 2026-05-23：高库存/高花费SKU每日看，其余2-3天看。</x:v>
      </x:c>
      <x:c r="J66" s="41" t="str">
        <x:f>IF(AND('今日提醒'!$B$2&gt;=$L66,'今日提醒'!$B$2&lt;=$M66,$L66=$M66),"节点当日",IF(AND('今日提醒'!$B$2&gt;=$L66,'今日提醒'!$B$2&lt;=$M66,'今日提醒'!$B$2&gt;$S66),"收尾下滑",IF(AND('今日提醒'!$B$2&gt;=$L66,'今日提醒'!$B$2&lt;=$M66),"节点进行中",IF(AND('今日提醒'!$B$2&gt;$M66,'今日提醒'!$B$2&lt;=$S66),"节后清尾",IF(AND('今日提醒'!$B$2&gt;=$R66,'今日提醒'!$B$2&lt;=$S66),"高频跟进",IF(AND('今日提醒'!$B$2&gt;=($R66-14),'今日提醒'!$B$2&lt;$R66,'今日提醒'!$B$2&lt;$L66),"临近高频",IF(AND(OR($A66="Chinese New Year",$A66="Super Bowl",$A66="Valentine's Day",$A66="Valentine Week",$A66="St. Patrick's Day",$A66="Easter",$A66="Graduation Season",$A66="Prom Season",$A66="Teacher Appreciation Week",$A66="Mother's Day",$A66="Memorial Day",$A66="Father's Day",$A66="Independence Day",$A66="Back-to-School Season",$A66="Labor Day",$A66="Halloween",$A66="Thanksgiving",$A66="Black Friday / Cyber Monday",$A66="Christmas",$A66="New Year's Eve / New Year Season"),'今日提醒'!$B$2&gt;=($R66-30),'今日提醒'!$B$2&lt;$R66,'今日提醒'!$B$2&lt;$L66),"大节气提前",IF(AND('今日提醒'!$B$2&gt;=$P66,'今日提醒'!$B$2&lt;=$Q66),"二次排查",IF(AND(OR($A66="Chinese New Year",$A66="Super Bowl",$A66="Valentine's Day",$A66="Valentine Week",$A66="St. Patrick's Day",$A66="Easter",$A66="Graduation Season",$A66="Prom Season",$A66="Teacher Appreciation Week",$A66="Mother's Day",$A66="Memorial Day",$A66="Father's Day",$A66="Independence Day",$A66="Back-to-School Season",$A66="Labor Day",$A66="Halloween",$A66="Thanksgiving",$A66="Black Friday / Cyber Monday",$A66="Christmas",$A66="New Year's Eve / New Year Season"),'今日提醒'!$B$2&gt;=($P66-14),'今日提醒'!$B$2&lt;$P66,'今日提醒'!$B$2&lt;$L66),"临近二次",IF(AND('今日提醒'!$B$2&gt;=$N66,'今日提醒'!$B$2&lt;=$O66),"一次排查",IF('今日提醒'!$B$2&lt;$N66,"未到排查",IF('今日提醒'!$B$2&lt;$L66,"等待下一窗口","已过"))))))))))))</x:f>
        <x:v>已过</x:v>
      </x:c>
      <x:c r="K66" s="41" t="str">
        <x:f>IF($J66="收尾下滑","主购买/高频窗口已过，流量可能走弱：不要盲目加预算或新建组；优先看库存压力、ACOS、广告占比、自然单，仅保留高转化词，计算清货/留仓。",IF($J66="节后清尾","节点已过但仍在清尾窗口：控低效词、降无效预算，复盘转化词；库存重则算清货，库存轻则吃完尾流。",IF($J66="节点当日","今天就是节点当日：优先看转化、库存承接、广告花费和尾流风险；可以吃最后一波有效流量，但不要再大范围新建或盲目加预算。",IF($J66="节点进行中","当前在节点/销售窗口内：这是进行中，不是预热；重点看销量、库存承接、广告花费、转化和是否已出现流量下滑。",IF($J66="高频跟进","今天在高频跟进窗口：头部SKU每日看；重点看高库存、高花费、断货风险和ACOS。",IF($J66="临近高频","高频窗口即将开始：今天先预查广告结构、关键词/ASIN、Listing埋词、库存承接和预算，避免临近节点再补。",IF($J66="大节气提前","大节气提前窗口：不要等高频当天再动；今天先锁定主推SKU、库存承接、Listing节日词、广告结构和预算上限，低相关/低库存产品不硬推。",IF($J66="二次排查","今天在二次排查窗口：补广告结构、关键词/ASIN、预算和Listing埋词。",IF($J66="临近二次","大节气二次排查即将开始：提前准备词/ASIN/图片/价格/促销，不等窗口当天才补结构。",IF($J66="一次排查","今天在一次排查窗口：先筛SKU，看历史动销、库存、利润和Listing匹配。",IF($J66="未到排查","暂不处理，等一次排查窗口。",IF($J66="等待下一窗口","暂不在排查窗口；等高频或节点开始，除非有库存/广告异常。","已过：复盘、降投、清尾或沉淀明年节点。"))))))))))))</x:f>
        <x:v>已过：复盘、降投、清尾或沉淀明年节点。</x:v>
      </x:c>
      <x:c r="L66" s="42" t="n">
        <x:v>46159</x:v>
      </x:c>
      <x:c r="M66" s="42" t="n">
        <x:v>46165</x:v>
      </x:c>
      <x:c r="N66" s="42" t="n">
        <x:v>46084</x:v>
      </x:c>
      <x:c r="O66" s="42" t="n">
        <x:v>46099</x:v>
      </x:c>
      <x:c r="P66" s="42" t="n">
        <x:v>46119</x:v>
      </x:c>
      <x:c r="Q66" s="42" t="n">
        <x:v>46129</x:v>
      </x:c>
      <x:c r="R66" s="42" t="n">
        <x:v>46145</x:v>
      </x:c>
      <x:c r="S66" s="42" t="n">
        <x:v>46165</x:v>
      </x:c>
      <x:c r="T66" s="43" t="n">
        <x:f>$L66-'今日提醒'!$B$2</x:f>
        <x:v>-8</x:v>
      </x:c>
      <x:c r="U66" s="74" t="n">
        <x:f>IF(OR($J66="收尾下滑",$J66="节后清尾",$J66="节点当日",$J66="节点进行中",$J66="高频跟进",$J66="临近高频",$J66="大节气提前",$J66="二次排查",$J66="临近二次",$J66="一次排查"),IF($J66="收尾下滑",1,IF($J66="节后清尾",2,IF($J66="节点当日",3,IF($J66="节点进行中",4,IF($J66="高频跟进",5,IF($J66="临近高频",6,IF($J66="大节气提前",7,IF($J66="二次排查",8,IF($J66="临近二次",9,10)))))))))*100000+ROW(),99999999+ROW())</x:f>
        <x:v>100000065</x:v>
      </x:c>
      <x:c r="V66" s="15" t="str">
        <x:f>IF(OR($J66="收尾下滑",$J66="节后清尾"),"风险/止损",IF($J66="节点当日","机会/当日冲刺",IF($J66="节点进行中","机会/进行中",IF($J66="高频跟进","机会/高频",IF($J66="大节气提前","机会/大节气提前",IF(OR($J66="临近高频",$J66="临近二次",$J66="二次排查",$J66="一次排查"),"机会/预热","非今日"))))))</x:f>
        <x:v>非今日</x:v>
      </x:c>
      <x:c r="W66" s="15" t="str">
        <x:f>IF($J66="收尾下滑","控投/清尾/算留仓",IF($J66="节后清尾","节后降投/复盘",IF($J66="节点当日","当日冲刺/控尾流",IF($J66="节点进行中","转化监控/看趋势",IF($J66="高频跟进","放量+控ACOS",IF($J66="大节气提前","提前锁结构/预算",IF($J66="临近高频","预查结构/埋词",IF($J66="临近二次","提前补结构/埋词",IF($J66="二次排查","补结构/补词",IF($J66="一次排查","筛SKU/核库存","暂无"))))))))))</x:f>
        <x:v>暂无</x:v>
      </x:c>
      <x:c r="X66" s="15" t="str">
        <x:f>IF(AND('今日提醒'!$B$2&gt;=$L66,'今日提醒'!$B$2&lt;=$M66,$L66=$M66),"节点当日：不是预热",IF(AND('今日提醒'!$B$2&gt;=$L66,'今日提醒'!$B$2&lt;=$M66,'今日提醒'!$B$2&gt;$S66),"高频已结束但销售窗口未结束：疑似尾期/下滑",IF(AND('今日提醒'!$B$2&gt;$M66,'今日提醒'!$B$2&lt;=$S66),"节点已过但仍在清尾窗口",IF($J66="大节气提前","大节气高频前30天：提前进入主推准备",IF($J66="临近二次","大节气二次排查前14天：提前准备","")))))</x:f>
      </x:c>
    </x:row>
    <x:row r="67" ht="58" hidden="0" customHeight="1">
      <x:c r="A67" s="41" t="str">
        <x:v>Memorial Day</x:v>
      </x:c>
      <x:c r="B67" s="41" t="str">
        <x:v>阵亡将士纪念日</x:v>
      </x:c>
      <x:c r="C67" s="41" t="str">
        <x:v>美国联邦假日，纪念为国牺牲军人，也是夏季消费和爱国主题预热节点。</x:v>
      </x:c>
      <x:c r="D67" s="41" t="str">
        <x:v>2026-05-25</x:v>
      </x:c>
      <x:c r="E67" s="41" t="str">
        <x:v>每年变动</x:v>
      </x:c>
      <x:c r="F67" s="41" t="str">
        <x:v>patriotic gifts、USA旗帜元素、veteran/military remembrance、户外/BBQ小物</x:v>
      </x:c>
      <x:c r="G67" s="41" t="str">
        <x:v>2026-01-25 ~ 2026-02-24：先看历史销量、库存/FBA承接、是否需要改Listing。</x:v>
      </x:c>
      <x:c r="H67" s="41" t="str">
        <x:v>2026-03-26 ~ 2026-04-10：广告结构、关键词/ASIN、标题主图必须基本到位。</x:v>
      </x:c>
      <x:c r="I67" s="41" t="str">
        <x:v>2026-05-04 ~ 2026-05-28：头部SKU每日看，过后及时降投/清尾。</x:v>
      </x:c>
      <x:c r="J67" s="41" t="str">
        <x:f>IF(AND('今日提醒'!$B$2&gt;=$L67,'今日提醒'!$B$2&lt;=$M67,$L67=$M67),"节点当日",IF(AND('今日提醒'!$B$2&gt;=$L67,'今日提醒'!$B$2&lt;=$M67,'今日提醒'!$B$2&gt;$S67),"收尾下滑",IF(AND('今日提醒'!$B$2&gt;=$L67,'今日提醒'!$B$2&lt;=$M67),"节点进行中",IF(AND('今日提醒'!$B$2&gt;$M67,'今日提醒'!$B$2&lt;=$S67),"节后清尾",IF(AND('今日提醒'!$B$2&gt;=$R67,'今日提醒'!$B$2&lt;=$S67),"高频跟进",IF(AND('今日提醒'!$B$2&gt;=($R67-14),'今日提醒'!$B$2&lt;$R67,'今日提醒'!$B$2&lt;$L67),"临近高频",IF(AND(OR($A67="Chinese New Year",$A67="Super Bowl",$A67="Valentine's Day",$A67="Valentine Week",$A67="St. Patrick's Day",$A67="Easter",$A67="Graduation Season",$A67="Prom Season",$A67="Teacher Appreciation Week",$A67="Mother's Day",$A67="Memorial Day",$A67="Father's Day",$A67="Independence Day",$A67="Back-to-School Season",$A67="Labor Day",$A67="Halloween",$A67="Thanksgiving",$A67="Black Friday / Cyber Monday",$A67="Christmas",$A67="New Year's Eve / New Year Season"),'今日提醒'!$B$2&gt;=($R67-30),'今日提醒'!$B$2&lt;$R67,'今日提醒'!$B$2&lt;$L67),"大节气提前",IF(AND('今日提醒'!$B$2&gt;=$P67,'今日提醒'!$B$2&lt;=$Q67),"二次排查",IF(AND(OR($A67="Chinese New Year",$A67="Super Bowl",$A67="Valentine's Day",$A67="Valentine Week",$A67="St. Patrick's Day",$A67="Easter",$A67="Graduation Season",$A67="Prom Season",$A67="Teacher Appreciation Week",$A67="Mother's Day",$A67="Memorial Day",$A67="Father's Day",$A67="Independence Day",$A67="Back-to-School Season",$A67="Labor Day",$A67="Halloween",$A67="Thanksgiving",$A67="Black Friday / Cyber Monday",$A67="Christmas",$A67="New Year's Eve / New Year Season"),'今日提醒'!$B$2&gt;=($P67-14),'今日提醒'!$B$2&lt;$P67,'今日提醒'!$B$2&lt;$L67),"临近二次",IF(AND('今日提醒'!$B$2&gt;=$N67,'今日提醒'!$B$2&lt;=$O67),"一次排查",IF('今日提醒'!$B$2&lt;$N67,"未到排查",IF('今日提醒'!$B$2&lt;$L67,"等待下一窗口","已过"))))))))))))</x:f>
        <x:v>节点当日</x:v>
      </x:c>
      <x:c r="K67" s="41" t="str">
        <x:f>IF($J67="收尾下滑","主购买/高频窗口已过，流量可能走弱：不要盲目加预算或新建组；优先看库存压力、ACOS、广告占比、自然单，仅保留高转化词，计算清货/留仓。",IF($J67="节后清尾","节点已过但仍在清尾窗口：控低效词、降无效预算，复盘转化词；库存重则算清货，库存轻则吃完尾流。",IF($J67="节点当日","今天就是节点当日：优先看转化、库存承接、广告花费和尾流风险；可以吃最后一波有效流量，但不要再大范围新建或盲目加预算。",IF($J67="节点进行中","当前在节点/销售窗口内：这是进行中，不是预热；重点看销量、库存承接、广告花费、转化和是否已出现流量下滑。",IF($J67="高频跟进","今天在高频跟进窗口：头部SKU每日看；重点看高库存、高花费、断货风险和ACOS。",IF($J67="临近高频","高频窗口即将开始：今天先预查广告结构、关键词/ASIN、Listing埋词、库存承接和预算，避免临近节点再补。",IF($J67="大节气提前","大节气提前窗口：不要等高频当天再动；今天先锁定主推SKU、库存承接、Listing节日词、广告结构和预算上限，低相关/低库存产品不硬推。",IF($J67="二次排查","今天在二次排查窗口：补广告结构、关键词/ASIN、预算和Listing埋词。",IF($J67="临近二次","大节气二次排查即将开始：提前准备词/ASIN/图片/价格/促销，不等窗口当天才补结构。",IF($J67="一次排查","今天在一次排查窗口：先筛SKU，看历史动销、库存、利润和Listing匹配。",IF($J67="未到排查","暂不处理，等一次排查窗口。",IF($J67="等待下一窗口","暂不在排查窗口；等高频或节点开始，除非有库存/广告异常。","已过：复盘、降投、清尾或沉淀明年节点。"))))))))))))</x:f>
        <x:v>今天就是节点当日：优先看转化、库存承接、广告花费和尾流风险；可以吃最后一波有效流量，但不要再大范围新建或盲目加预算。</x:v>
      </x:c>
      <x:c r="L67" s="42" t="n">
        <x:v>46167</x:v>
      </x:c>
      <x:c r="M67" s="42" t="n">
        <x:v>46167</x:v>
      </x:c>
      <x:c r="N67" s="42" t="n">
        <x:v>46047</x:v>
      </x:c>
      <x:c r="O67" s="42" t="n">
        <x:v>46077</x:v>
      </x:c>
      <x:c r="P67" s="42" t="n">
        <x:v>46107</x:v>
      </x:c>
      <x:c r="Q67" s="42" t="n">
        <x:v>46122</x:v>
      </x:c>
      <x:c r="R67" s="42" t="n">
        <x:v>46146</x:v>
      </x:c>
      <x:c r="S67" s="42" t="n">
        <x:v>46170</x:v>
      </x:c>
      <x:c r="T67" s="43" t="n">
        <x:f>$L67-'今日提醒'!$B$2</x:f>
        <x:v>0</x:v>
      </x:c>
      <x:c r="U67" s="74" t="n">
        <x:f>IF(OR($J67="收尾下滑",$J67="节后清尾",$J67="节点当日",$J67="节点进行中",$J67="高频跟进",$J67="临近高频",$J67="大节气提前",$J67="二次排查",$J67="临近二次",$J67="一次排查"),IF($J67="收尾下滑",1,IF($J67="节后清尾",2,IF($J67="节点当日",3,IF($J67="节点进行中",4,IF($J67="高频跟进",5,IF($J67="临近高频",6,IF($J67="大节气提前",7,IF($J67="二次排查",8,IF($J67="临近二次",9,10)))))))))*100000+ROW(),99999999+ROW())</x:f>
        <x:v>300067</x:v>
      </x:c>
      <x:c r="V67" s="15" t="str">
        <x:f>IF(OR($J67="收尾下滑",$J67="节后清尾"),"风险/止损",IF($J67="节点当日","机会/当日冲刺",IF($J67="节点进行中","机会/进行中",IF($J67="高频跟进","机会/高频",IF($J67="大节气提前","机会/大节气提前",IF(OR($J67="临近高频",$J67="临近二次",$J67="二次排查",$J67="一次排查"),"机会/预热","非今日"))))))</x:f>
        <x:v>机会/当日冲刺</x:v>
      </x:c>
      <x:c r="W67" s="15" t="str">
        <x:f>IF($J67="收尾下滑","控投/清尾/算留仓",IF($J67="节后清尾","节后降投/复盘",IF($J67="节点当日","当日冲刺/控尾流",IF($J67="节点进行中","转化监控/看趋势",IF($J67="高频跟进","放量+控ACOS",IF($J67="大节气提前","提前锁结构/预算",IF($J67="临近高频","预查结构/埋词",IF($J67="临近二次","提前补结构/埋词",IF($J67="二次排查","补结构/补词",IF($J67="一次排查","筛SKU/核库存","暂无"))))))))))</x:f>
        <x:v>当日冲刺/控尾流</x:v>
      </x:c>
      <x:c r="X67" s="15" t="str">
        <x:f>IF(AND('今日提醒'!$B$2&gt;=$L67,'今日提醒'!$B$2&lt;=$M67,$L67=$M67),"节点当日：不是预热",IF(AND('今日提醒'!$B$2&gt;=$L67,'今日提醒'!$B$2&lt;=$M67,'今日提醒'!$B$2&gt;$S67),"高频已结束但销售窗口未结束：疑似尾期/下滑",IF(AND('今日提醒'!$B$2&gt;$M67,'今日提醒'!$B$2&lt;=$S67),"节点已过但仍在清尾窗口",IF($J67="大节气提前","大节气高频前30天：提前进入主推准备",IF($J67="临近二次","大节气二次排查前14天：提前准备","")))))</x:f>
        <x:v>节点当日：不是预热</x:v>
      </x:c>
    </x:row>
    <x:row r="68" ht="58" hidden="0" customHeight="1">
      <x:c r="A68" s="41" t="str">
        <x:v>Wedding Season</x:v>
      </x:c>
      <x:c r="B68" s="41" t="str">
        <x:v>婚礼季</x:v>
      </x:c>
      <x:c r="C68" s="41" t="str">
        <x:v>婚礼、bridal shower、伴娘礼、婚宴装饰需求窗口。</x:v>
      </x:c>
      <x:c r="D68" s="41" t="str">
        <x:v>2026-03-01 ~ 2026-10-31</x:v>
      </x:c>
      <x:c r="E68" s="41" t="str">
        <x:v>区间变动：5-8月更热，取全年婚礼季销售窗口</x:v>
      </x:c>
      <x:c r="F68" s="41" t="str">
        <x:v>婚礼伴手礼、bridal party gifts、guest favors、祝福卡</x:v>
      </x:c>
      <x:c r="G68" s="41" t="str">
        <x:v>2025-12-01 ~ 2025-12-15：看历史动销起点、库存承接、Listing是否匹配。</x:v>
      </x:c>
      <x:c r="H68" s="41" t="str">
        <x:v>2026-01-15 ~ 2026-01-29：完成关键词/ASIN/主图标题检查，低预算轻测。</x:v>
      </x:c>
      <x:c r="I68" s="41" t="str">
        <x:v>2026-02-15 ~ 2026-07-01：头部SKU每日看，普通SKU每周2次。</x:v>
      </x:c>
      <x:c r="J68" s="41" t="str">
        <x:f>IF(AND('今日提醒'!$B$2&gt;=$L68,'今日提醒'!$B$2&lt;=$M68,$L68=$M68),"节点当日",IF(AND('今日提醒'!$B$2&gt;=$L68,'今日提醒'!$B$2&lt;=$M68,'今日提醒'!$B$2&gt;$S68),"收尾下滑",IF(AND('今日提醒'!$B$2&gt;=$L68,'今日提醒'!$B$2&lt;=$M68),"节点进行中",IF(AND('今日提醒'!$B$2&gt;$M68,'今日提醒'!$B$2&lt;=$S68),"节后清尾",IF(AND('今日提醒'!$B$2&gt;=$R68,'今日提醒'!$B$2&lt;=$S68),"高频跟进",IF(AND('今日提醒'!$B$2&gt;=($R68-14),'今日提醒'!$B$2&lt;$R68,'今日提醒'!$B$2&lt;$L68),"临近高频",IF(AND(OR($A68="Chinese New Year",$A68="Super Bowl",$A68="Valentine's Day",$A68="Valentine Week",$A68="St. Patrick's Day",$A68="Easter",$A68="Graduation Season",$A68="Prom Season",$A68="Teacher Appreciation Week",$A68="Mother's Day",$A68="Memorial Day",$A68="Father's Day",$A68="Independence Day",$A68="Back-to-School Season",$A68="Labor Day",$A68="Halloween",$A68="Thanksgiving",$A68="Black Friday / Cyber Monday",$A68="Christmas",$A68="New Year's Eve / New Year Season"),'今日提醒'!$B$2&gt;=($R68-30),'今日提醒'!$B$2&lt;$R68,'今日提醒'!$B$2&lt;$L68),"大节气提前",IF(AND('今日提醒'!$B$2&gt;=$P68,'今日提醒'!$B$2&lt;=$Q68),"二次排查",IF(AND(OR($A68="Chinese New Year",$A68="Super Bowl",$A68="Valentine's Day",$A68="Valentine Week",$A68="St. Patrick's Day",$A68="Easter",$A68="Graduation Season",$A68="Prom Season",$A68="Teacher Appreciation Week",$A68="Mother's Day",$A68="Memorial Day",$A68="Father's Day",$A68="Independence Day",$A68="Back-to-School Season",$A68="Labor Day",$A68="Halloween",$A68="Thanksgiving",$A68="Black Friday / Cyber Monday",$A68="Christmas",$A68="New Year's Eve / New Year Season"),'今日提醒'!$B$2&gt;=($P68-14),'今日提醒'!$B$2&lt;$P68,'今日提醒'!$B$2&lt;$L68),"临近二次",IF(AND('今日提醒'!$B$2&gt;=$N68,'今日提醒'!$B$2&lt;=$O68),"一次排查",IF('今日提醒'!$B$2&lt;$N68,"未到排查",IF('今日提醒'!$B$2&lt;$L68,"等待下一窗口","已过"))))))))))))</x:f>
        <x:v>节点进行中</x:v>
      </x:c>
      <x:c r="K68" s="41" t="str">
        <x:f>IF($J68="收尾下滑","主购买/高频窗口已过，流量可能走弱：不要盲目加预算或新建组；优先看库存压力、ACOS、广告占比、自然单，仅保留高转化词，计算清货/留仓。",IF($J68="节后清尾","节点已过但仍在清尾窗口：控低效词、降无效预算，复盘转化词；库存重则算清货，库存轻则吃完尾流。",IF($J68="节点当日","今天就是节点当日：优先看转化、库存承接、广告花费和尾流风险；可以吃最后一波有效流量，但不要再大范围新建或盲目加预算。",IF($J68="节点进行中","当前在节点/销售窗口内：这是进行中，不是预热；重点看销量、库存承接、广告花费、转化和是否已出现流量下滑。",IF($J68="高频跟进","今天在高频跟进窗口：头部SKU每日看；重点看高库存、高花费、断货风险和ACOS。",IF($J68="临近高频","高频窗口即将开始：今天先预查广告结构、关键词/ASIN、Listing埋词、库存承接和预算，避免临近节点再补。",IF($J68="大节气提前","大节气提前窗口：不要等高频当天再动；今天先锁定主推SKU、库存承接、Listing节日词、广告结构和预算上限，低相关/低库存产品不硬推。",IF($J68="二次排查","今天在二次排查窗口：补广告结构、关键词/ASIN、预算和Listing埋词。",IF($J68="临近二次","大节气二次排查即将开始：提前准备词/ASIN/图片/价格/促销，不等窗口当天才补结构。",IF($J68="一次排查","今天在一次排查窗口：先筛SKU，看历史动销、库存、利润和Listing匹配。",IF($J68="未到排查","暂不处理，等一次排查窗口。",IF($J68="等待下一窗口","暂不在排查窗口；等高频或节点开始，除非有库存/广告异常。","已过：复盘、降投、清尾或沉淀明年节点。"))))))))))))</x:f>
        <x:v>当前在节点/销售窗口内：这是进行中，不是预热；重点看销量、库存承接、广告花费、转化和是否已出现流量下滑。</x:v>
      </x:c>
      <x:c r="L68" s="42" t="n">
        <x:v>46082</x:v>
      </x:c>
      <x:c r="M68" s="42" t="n">
        <x:v>46326</x:v>
      </x:c>
      <x:c r="N68" s="42" t="n">
        <x:v>45992</x:v>
      </x:c>
      <x:c r="O68" s="42" t="n">
        <x:v>46006</x:v>
      </x:c>
      <x:c r="P68" s="42" t="n">
        <x:v>46037</x:v>
      </x:c>
      <x:c r="Q68" s="42" t="n">
        <x:v>46051</x:v>
      </x:c>
      <x:c r="R68" s="42" t="n">
        <x:v>46068</x:v>
      </x:c>
      <x:c r="S68" s="42" t="n">
        <x:v>46204</x:v>
      </x:c>
      <x:c r="T68" s="43" t="n">
        <x:f>$L68-'今日提醒'!$B$2</x:f>
        <x:v>-85</x:v>
      </x:c>
      <x:c r="U68" s="74" t="n">
        <x:f>IF(OR($J68="收尾下滑",$J68="节后清尾",$J68="节点当日",$J68="节点进行中",$J68="高频跟进",$J68="临近高频",$J68="大节气提前",$J68="二次排查",$J68="临近二次",$J68="一次排查"),IF($J68="收尾下滑",1,IF($J68="节后清尾",2,IF($J68="节点当日",3,IF($J68="节点进行中",4,IF($J68="高频跟进",5,IF($J68="临近高频",6,IF($J68="大节气提前",7,IF($J68="二次排查",8,IF($J68="临近二次",9,10)))))))))*100000+ROW(),99999999+ROW())</x:f>
        <x:v>400068</x:v>
      </x:c>
      <x:c r="V68" s="15" t="str">
        <x:f>IF(OR($J68="收尾下滑",$J68="节后清尾"),"风险/止损",IF($J68="节点当日","机会/当日冲刺",IF($J68="节点进行中","机会/进行中",IF($J68="高频跟进","机会/高频",IF($J68="大节气提前","机会/大节气提前",IF(OR($J68="临近高频",$J68="临近二次",$J68="二次排查",$J68="一次排查"),"机会/预热","非今日"))))))</x:f>
        <x:v>机会/进行中</x:v>
      </x:c>
      <x:c r="W68" s="15" t="str">
        <x:f>IF($J68="收尾下滑","控投/清尾/算留仓",IF($J68="节后清尾","节后降投/复盘",IF($J68="节点当日","当日冲刺/控尾流",IF($J68="节点进行中","转化监控/看趋势",IF($J68="高频跟进","放量+控ACOS",IF($J68="大节气提前","提前锁结构/预算",IF($J68="临近高频","预查结构/埋词",IF($J68="临近二次","提前补结构/埋词",IF($J68="二次排查","补结构/补词",IF($J68="一次排查","筛SKU/核库存","暂无"))))))))))</x:f>
        <x:v>转化监控/看趋势</x:v>
      </x:c>
      <x:c r="X68" s="15" t="str">
        <x:f>IF(AND('今日提醒'!$B$2&gt;=$L68,'今日提醒'!$B$2&lt;=$M68,$L68=$M68),"节点当日：不是预热",IF(AND('今日提醒'!$B$2&gt;=$L68,'今日提醒'!$B$2&lt;=$M68,'今日提醒'!$B$2&gt;$S68),"高频已结束但销售窗口未结束：疑似尾期/下滑",IF(AND('今日提醒'!$B$2&gt;$M68,'今日提醒'!$B$2&lt;=$S68),"节点已过但仍在清尾窗口",IF($J68="大节气提前","大节气高频前30天：提前进入主推准备",IF($J68="临近二次","大节气二次排查前14天：提前准备","")))))</x:f>
      </x:c>
    </x:row>
    <x:row r="69" ht="58" hidden="0" customHeight="1">
      <x:c r="A69" s="41" t="str">
        <x:v>Summer Product Season</x:v>
      </x:c>
      <x:c r="B69" s="41" t="str">
        <x:v>夏季产品季</x:v>
      </x:c>
      <x:c r="C69" s="41" t="str">
        <x:v>户外、饮品、派对、旅行、防晒、清凉用品需求窗口。</x:v>
      </x:c>
      <x:c r="D69" s="41" t="str">
        <x:v>2026-03-15 ~ 2026-09-30</x:v>
      </x:c>
      <x:c r="E69" s="41" t="str">
        <x:v>区间变动：按夏季品类常用窗口</x:v>
      </x:c>
      <x:c r="F69" s="41" t="str">
        <x:v>夏季户外、旅行、露营、泳池、降温、太阳花/海滩主题产品</x:v>
      </x:c>
      <x:c r="G69" s="41" t="str">
        <x:v>2025-12-15 ~ 2025-12-29：看历史动销起点、库存承接、Listing是否匹配。</x:v>
      </x:c>
      <x:c r="H69" s="41" t="str">
        <x:v>2026-01-29 ~ 2026-02-12：完成关键词/ASIN/主图标题检查，低预算轻测。</x:v>
      </x:c>
      <x:c r="I69" s="41" t="str">
        <x:v>2026-03-01 ~ 2026-06-22：头部SKU每日看，普通SKU每周2次。</x:v>
      </x:c>
      <x:c r="J69" s="41" t="str">
        <x:f>IF(AND('今日提醒'!$B$2&gt;=$L69,'今日提醒'!$B$2&lt;=$M69,$L69=$M69),"节点当日",IF(AND('今日提醒'!$B$2&gt;=$L69,'今日提醒'!$B$2&lt;=$M69,'今日提醒'!$B$2&gt;$S69),"收尾下滑",IF(AND('今日提醒'!$B$2&gt;=$L69,'今日提醒'!$B$2&lt;=$M69),"节点进行中",IF(AND('今日提醒'!$B$2&gt;$M69,'今日提醒'!$B$2&lt;=$S69),"节后清尾",IF(AND('今日提醒'!$B$2&gt;=$R69,'今日提醒'!$B$2&lt;=$S69),"高频跟进",IF(AND('今日提醒'!$B$2&gt;=($R69-14),'今日提醒'!$B$2&lt;$R69,'今日提醒'!$B$2&lt;$L69),"临近高频",IF(AND(OR($A69="Chinese New Year",$A69="Super Bowl",$A69="Valentine's Day",$A69="Valentine Week",$A69="St. Patrick's Day",$A69="Easter",$A69="Graduation Season",$A69="Prom Season",$A69="Teacher Appreciation Week",$A69="Mother's Day",$A69="Memorial Day",$A69="Father's Day",$A69="Independence Day",$A69="Back-to-School Season",$A69="Labor Day",$A69="Halloween",$A69="Thanksgiving",$A69="Black Friday / Cyber Monday",$A69="Christmas",$A69="New Year's Eve / New Year Season"),'今日提醒'!$B$2&gt;=($R69-30),'今日提醒'!$B$2&lt;$R69,'今日提醒'!$B$2&lt;$L69),"大节气提前",IF(AND('今日提醒'!$B$2&gt;=$P69,'今日提醒'!$B$2&lt;=$Q69),"二次排查",IF(AND(OR($A69="Chinese New Year",$A69="Super Bowl",$A69="Valentine's Day",$A69="Valentine Week",$A69="St. Patrick's Day",$A69="Easter",$A69="Graduation Season",$A69="Prom Season",$A69="Teacher Appreciation Week",$A69="Mother's Day",$A69="Memorial Day",$A69="Father's Day",$A69="Independence Day",$A69="Back-to-School Season",$A69="Labor Day",$A69="Halloween",$A69="Thanksgiving",$A69="Black Friday / Cyber Monday",$A69="Christmas",$A69="New Year's Eve / New Year Season"),'今日提醒'!$B$2&gt;=($P69-14),'今日提醒'!$B$2&lt;$P69,'今日提醒'!$B$2&lt;$L69),"临近二次",IF(AND('今日提醒'!$B$2&gt;=$N69,'今日提醒'!$B$2&lt;=$O69),"一次排查",IF('今日提醒'!$B$2&lt;$N69,"未到排查",IF('今日提醒'!$B$2&lt;$L69,"等待下一窗口","已过"))))))))))))</x:f>
        <x:v>节点进行中</x:v>
      </x:c>
      <x:c r="K69" s="41" t="str">
        <x:f>IF($J69="收尾下滑","主购买/高频窗口已过，流量可能走弱：不要盲目加预算或新建组；优先看库存压力、ACOS、广告占比、自然单，仅保留高转化词，计算清货/留仓。",IF($J69="节后清尾","节点已过但仍在清尾窗口：控低效词、降无效预算，复盘转化词；库存重则算清货，库存轻则吃完尾流。",IF($J69="节点当日","今天就是节点当日：优先看转化、库存承接、广告花费和尾流风险；可以吃最后一波有效流量，但不要再大范围新建或盲目加预算。",IF($J69="节点进行中","当前在节点/销售窗口内：这是进行中，不是预热；重点看销量、库存承接、广告花费、转化和是否已出现流量下滑。",IF($J69="高频跟进","今天在高频跟进窗口：头部SKU每日看；重点看高库存、高花费、断货风险和ACOS。",IF($J69="临近高频","高频窗口即将开始：今天先预查广告结构、关键词/ASIN、Listing埋词、库存承接和预算，避免临近节点再补。",IF($J69="大节气提前","大节气提前窗口：不要等高频当天再动；今天先锁定主推SKU、库存承接、Listing节日词、广告结构和预算上限，低相关/低库存产品不硬推。",IF($J69="二次排查","今天在二次排查窗口：补广告结构、关键词/ASIN、预算和Listing埋词。",IF($J69="临近二次","大节气二次排查即将开始：提前准备词/ASIN/图片/价格/促销，不等窗口当天才补结构。",IF($J69="一次排查","今天在一次排查窗口：先筛SKU，看历史动销、库存、利润和Listing匹配。",IF($J69="未到排查","暂不处理，等一次排查窗口。",IF($J69="等待下一窗口","暂不在排查窗口；等高频或节点开始，除非有库存/广告异常。","已过：复盘、降投、清尾或沉淀明年节点。"))))))))))))</x:f>
        <x:v>当前在节点/销售窗口内：这是进行中，不是预热；重点看销量、库存承接、广告花费、转化和是否已出现流量下滑。</x:v>
      </x:c>
      <x:c r="L69" s="42" t="n">
        <x:v>46096</x:v>
      </x:c>
      <x:c r="M69" s="42" t="n">
        <x:v>46295</x:v>
      </x:c>
      <x:c r="N69" s="42" t="n">
        <x:v>46006</x:v>
      </x:c>
      <x:c r="O69" s="42" t="n">
        <x:v>46020</x:v>
      </x:c>
      <x:c r="P69" s="42" t="n">
        <x:v>46051</x:v>
      </x:c>
      <x:c r="Q69" s="42" t="n">
        <x:v>46065</x:v>
      </x:c>
      <x:c r="R69" s="42" t="n">
        <x:v>46082</x:v>
      </x:c>
      <x:c r="S69" s="42" t="n">
        <x:v>46195</x:v>
      </x:c>
      <x:c r="T69" s="43" t="n">
        <x:f>$L69-'今日提醒'!$B$2</x:f>
        <x:v>-71</x:v>
      </x:c>
      <x:c r="U69" s="74" t="n">
        <x:f>IF(OR($J69="收尾下滑",$J69="节后清尾",$J69="节点当日",$J69="节点进行中",$J69="高频跟进",$J69="临近高频",$J69="大节气提前",$J69="二次排查",$J69="临近二次",$J69="一次排查"),IF($J69="收尾下滑",1,IF($J69="节后清尾",2,IF($J69="节点当日",3,IF($J69="节点进行中",4,IF($J69="高频跟进",5,IF($J69="临近高频",6,IF($J69="大节气提前",7,IF($J69="二次排查",8,IF($J69="临近二次",9,10)))))))))*100000+ROW(),99999999+ROW())</x:f>
        <x:v>400069</x:v>
      </x:c>
      <x:c r="V69" s="15" t="str">
        <x:f>IF(OR($J69="收尾下滑",$J69="节后清尾"),"风险/止损",IF($J69="节点当日","机会/当日冲刺",IF($J69="节点进行中","机会/进行中",IF($J69="高频跟进","机会/高频",IF($J69="大节气提前","机会/大节气提前",IF(OR($J69="临近高频",$J69="临近二次",$J69="二次排查",$J69="一次排查"),"机会/预热","非今日"))))))</x:f>
        <x:v>机会/进行中</x:v>
      </x:c>
      <x:c r="W69" s="15" t="str">
        <x:f>IF($J69="收尾下滑","控投/清尾/算留仓",IF($J69="节后清尾","节后降投/复盘",IF($J69="节点当日","当日冲刺/控尾流",IF($J69="节点进行中","转化监控/看趋势",IF($J69="高频跟进","放量+控ACOS",IF($J69="大节气提前","提前锁结构/预算",IF($J69="临近高频","预查结构/埋词",IF($J69="临近二次","提前补结构/埋词",IF($J69="二次排查","补结构/补词",IF($J69="一次排查","筛SKU/核库存","暂无"))))))))))</x:f>
        <x:v>转化监控/看趋势</x:v>
      </x:c>
      <x:c r="X69" s="15" t="str">
        <x:f>IF(AND('今日提醒'!$B$2&gt;=$L69,'今日提醒'!$B$2&lt;=$M69,$L69=$M69),"节点当日：不是预热",IF(AND('今日提醒'!$B$2&gt;=$L69,'今日提醒'!$B$2&lt;=$M69,'今日提醒'!$B$2&gt;$S69),"高频已结束但销售窗口未结束：疑似尾期/下滑",IF(AND('今日提醒'!$B$2&gt;$M69,'今日提醒'!$B$2&lt;=$S69),"节点已过但仍在清尾窗口",IF($J69="大节气提前","大节气高频前30天：提前进入主推准备",IF($J69="临近二次","大节气二次排查前14天：提前准备","")))))</x:f>
      </x:c>
    </x:row>
    <x:row r="70" ht="58" hidden="0" customHeight="1">
      <x:c r="A70" s="41" t="str">
        <x:v>Pride Month</x:v>
      </x:c>
      <x:c r="B70" s="41" t="str">
        <x:v>骄傲月/LGBTQ+骄傲月</x:v>
      </x:c>
      <x:c r="C70" s="41" t="str">
        <x:v>彩虹、平权、身份表达与社群礼品节点，适合Pride主题视觉与关键词。</x:v>
      </x:c>
      <x:c r="D70" s="41" t="str">
        <x:v>2026-06-01 ~ 2026-06-30</x:v>
      </x:c>
      <x:c r="E70" s="41" t="str">
        <x:v>固定月份</x:v>
      </x:c>
      <x:c r="F70" s="41" t="str">
        <x:v>意识/支持类产品：丝带、手链、鼓励卡、贴纸；敏感节点商业化要克制</x:v>
      </x:c>
      <x:c r="G70" s="41" t="str">
        <x:v>2026-03-03 ~ 2026-03-18：先确认产品真实匹配，避免硬蹭敏感议题。</x:v>
      </x:c>
      <x:c r="H70" s="41" t="str">
        <x:v>2026-04-17 ~ 2026-04-27：检查图片/文案/关键词是否克制且合规。</x:v>
      </x:c>
      <x:c r="I70" s="41" t="str">
        <x:v>2026-05-18 ~ 2026-06-15：每2-3天看；表现差或表达风险高就停。</x:v>
      </x:c>
      <x:c r="J70" s="41" t="str">
        <x:f>IF(AND('今日提醒'!$B$2&gt;=$L70,'今日提醒'!$B$2&lt;=$M70,$L70=$M70),"节点当日",IF(AND('今日提醒'!$B$2&gt;=$L70,'今日提醒'!$B$2&lt;=$M70,'今日提醒'!$B$2&gt;$S70),"收尾下滑",IF(AND('今日提醒'!$B$2&gt;=$L70,'今日提醒'!$B$2&lt;=$M70),"节点进行中",IF(AND('今日提醒'!$B$2&gt;$M70,'今日提醒'!$B$2&lt;=$S70),"节后清尾",IF(AND('今日提醒'!$B$2&gt;=$R70,'今日提醒'!$B$2&lt;=$S70),"高频跟进",IF(AND('今日提醒'!$B$2&gt;=($R70-14),'今日提醒'!$B$2&lt;$R70,'今日提醒'!$B$2&lt;$L70),"临近高频",IF(AND(OR($A70="Chinese New Year",$A70="Super Bowl",$A70="Valentine's Day",$A70="Valentine Week",$A70="St. Patrick's Day",$A70="Easter",$A70="Graduation Season",$A70="Prom Season",$A70="Teacher Appreciation Week",$A70="Mother's Day",$A70="Memorial Day",$A70="Father's Day",$A70="Independence Day",$A70="Back-to-School Season",$A70="Labor Day",$A70="Halloween",$A70="Thanksgiving",$A70="Black Friday / Cyber Monday",$A70="Christmas",$A70="New Year's Eve / New Year Season"),'今日提醒'!$B$2&gt;=($R70-30),'今日提醒'!$B$2&lt;$R70,'今日提醒'!$B$2&lt;$L70),"大节气提前",IF(AND('今日提醒'!$B$2&gt;=$P70,'今日提醒'!$B$2&lt;=$Q70),"二次排查",IF(AND(OR($A70="Chinese New Year",$A70="Super Bowl",$A70="Valentine's Day",$A70="Valentine Week",$A70="St. Patrick's Day",$A70="Easter",$A70="Graduation Season",$A70="Prom Season",$A70="Teacher Appreciation Week",$A70="Mother's Day",$A70="Memorial Day",$A70="Father's Day",$A70="Independence Day",$A70="Back-to-School Season",$A70="Labor Day",$A70="Halloween",$A70="Thanksgiving",$A70="Black Friday / Cyber Monday",$A70="Christmas",$A70="New Year's Eve / New Year Season"),'今日提醒'!$B$2&gt;=($P70-14),'今日提醒'!$B$2&lt;$P70,'今日提醒'!$B$2&lt;$L70),"临近二次",IF(AND('今日提醒'!$B$2&gt;=$N70,'今日提醒'!$B$2&lt;=$O70),"一次排查",IF('今日提醒'!$B$2&lt;$N70,"未到排查",IF('今日提醒'!$B$2&lt;$L70,"等待下一窗口","已过"))))))))))))</x:f>
        <x:v>高频跟进</x:v>
      </x:c>
      <x:c r="K70" s="41" t="str">
        <x:f>IF($J70="收尾下滑","主购买/高频窗口已过，流量可能走弱：不要盲目加预算或新建组；优先看库存压力、ACOS、广告占比、自然单，仅保留高转化词，计算清货/留仓。",IF($J70="节后清尾","节点已过但仍在清尾窗口：控低效词、降无效预算，复盘转化词；库存重则算清货，库存轻则吃完尾流。",IF($J70="节点当日","今天就是节点当日：优先看转化、库存承接、广告花费和尾流风险；可以吃最后一波有效流量，但不要再大范围新建或盲目加预算。",IF($J70="节点进行中","当前在节点/销售窗口内：这是进行中，不是预热；重点看销量、库存承接、广告花费、转化和是否已出现流量下滑。",IF($J70="高频跟进","今天在高频跟进窗口：头部SKU每日看；重点看高库存、高花费、断货风险和ACOS。",IF($J70="临近高频","高频窗口即将开始：今天先预查广告结构、关键词/ASIN、Listing埋词、库存承接和预算，避免临近节点再补。",IF($J70="大节气提前","大节气提前窗口：不要等高频当天再动；今天先锁定主推SKU、库存承接、Listing节日词、广告结构和预算上限，低相关/低库存产品不硬推。",IF($J70="二次排查","今天在二次排查窗口：补广告结构、关键词/ASIN、预算和Listing埋词。",IF($J70="临近二次","大节气二次排查即将开始：提前准备词/ASIN/图片/价格/促销，不等窗口当天才补结构。",IF($J70="一次排查","今天在一次排查窗口：先筛SKU，看历史动销、库存、利润和Listing匹配。",IF($J70="未到排查","暂不处理，等一次排查窗口。",IF($J70="等待下一窗口","暂不在排查窗口；等高频或节点开始，除非有库存/广告异常。","已过：复盘、降投、清尾或沉淀明年节点。"))))))))))))</x:f>
        <x:v>今天在高频跟进窗口：头部SKU每日看；重点看高库存、高花费、断货风险和ACOS。</x:v>
      </x:c>
      <x:c r="L70" s="42" t="n">
        <x:v>46174</x:v>
      </x:c>
      <x:c r="M70" s="42" t="n">
        <x:v>46203</x:v>
      </x:c>
      <x:c r="N70" s="42" t="n">
        <x:v>46084</x:v>
      </x:c>
      <x:c r="O70" s="42" t="n">
        <x:v>46099</x:v>
      </x:c>
      <x:c r="P70" s="42" t="n">
        <x:v>46129</x:v>
      </x:c>
      <x:c r="Q70" s="42" t="n">
        <x:v>46139</x:v>
      </x:c>
      <x:c r="R70" s="42" t="n">
        <x:v>46160</x:v>
      </x:c>
      <x:c r="S70" s="42" t="n">
        <x:v>46188</x:v>
      </x:c>
      <x:c r="T70" s="43" t="n">
        <x:f>$L70-'今日提醒'!$B$2</x:f>
        <x:v>7</x:v>
      </x:c>
      <x:c r="U70" s="74" t="n">
        <x:f>IF(OR($J70="收尾下滑",$J70="节后清尾",$J70="节点当日",$J70="节点进行中",$J70="高频跟进",$J70="临近高频",$J70="大节气提前",$J70="二次排查",$J70="临近二次",$J70="一次排查"),IF($J70="收尾下滑",1,IF($J70="节后清尾",2,IF($J70="节点当日",3,IF($J70="节点进行中",4,IF($J70="高频跟进",5,IF($J70="临近高频",6,IF($J70="大节气提前",7,IF($J70="二次排查",8,IF($J70="临近二次",9,10)))))))))*100000+ROW(),99999999+ROW())</x:f>
        <x:v>500070</x:v>
      </x:c>
      <x:c r="V70" s="15" t="str">
        <x:f>IF(OR($J70="收尾下滑",$J70="节后清尾"),"风险/止损",IF($J70="节点当日","机会/当日冲刺",IF($J70="节点进行中","机会/进行中",IF($J70="高频跟进","机会/高频",IF($J70="大节气提前","机会/大节气提前",IF(OR($J70="临近高频",$J70="临近二次",$J70="二次排查",$J70="一次排查"),"机会/预热","非今日"))))))</x:f>
        <x:v>机会/高频</x:v>
      </x:c>
      <x:c r="W70" s="15" t="str">
        <x:f>IF($J70="收尾下滑","控投/清尾/算留仓",IF($J70="节后清尾","节后降投/复盘",IF($J70="节点当日","当日冲刺/控尾流",IF($J70="节点进行中","转化监控/看趋势",IF($J70="高频跟进","放量+控ACOS",IF($J70="大节气提前","提前锁结构/预算",IF($J70="临近高频","预查结构/埋词",IF($J70="临近二次","提前补结构/埋词",IF($J70="二次排查","补结构/补词",IF($J70="一次排查","筛SKU/核库存","暂无"))))))))))</x:f>
        <x:v>放量+控ACOS</x:v>
      </x:c>
      <x:c r="X70" s="15" t="str">
        <x:f>IF(AND('今日提醒'!$B$2&gt;=$L70,'今日提醒'!$B$2&lt;=$M70,$L70=$M70),"节点当日：不是预热",IF(AND('今日提醒'!$B$2&gt;=$L70,'今日提醒'!$B$2&lt;=$M70,'今日提醒'!$B$2&gt;$S70),"高频已结束但销售窗口未结束：疑似尾期/下滑",IF(AND('今日提醒'!$B$2&gt;$M70,'今日提醒'!$B$2&lt;=$S70),"节点已过但仍在清尾窗口",IF($J70="大节气提前","大节气高频前30天：提前进入主推准备",IF($J70="临近二次","大节气二次排查前14天：提前准备","")))))</x:f>
      </x:c>
    </x:row>
    <x:row r="71" ht="58" hidden="0" customHeight="1">
      <x:c r="A71" s="41" t="str">
        <x:v>Flag Day</x:v>
      </x:c>
      <x:c r="B71" s="41" t="str">
        <x:v>美国国旗日</x:v>
      </x:c>
      <x:c r="C71" s="41" t="str">
        <x:v>纪念美国国旗采用的日子，适合patriotic、USA、military/veteran相关轻主题。</x:v>
      </x:c>
      <x:c r="D71" s="41" t="str">
        <x:v>2026-06-14</x:v>
      </x:c>
      <x:c r="E71" s="41" t="str">
        <x:v>固定日期</x:v>
      </x:c>
      <x:c r="F71" s="41" t="str">
        <x:v>patriotic gifts、USA旗帜元素、veteran/military thank you礼品、钥匙扣</x:v>
      </x:c>
      <x:c r="G71" s="41" t="str">
        <x:v>2026-04-15 ~ 2026-04-30：先筛匹配SKU、历史销量、库存和利润空间。</x:v>
      </x:c>
      <x:c r="H71" s="41" t="str">
        <x:v>2026-05-15 ~ 2026-05-24：补关键词/ASIN、Listing埋词和广告预算。</x:v>
      </x:c>
      <x:c r="I71" s="41" t="str">
        <x:v>2026-05-31 ~ 2026-06-16：重点SKU每日看，普通SKU每2-3天看。</x:v>
      </x:c>
      <x:c r="J71" s="41" t="str">
        <x:f>IF(AND('今日提醒'!$B$2&gt;=$L71,'今日提醒'!$B$2&lt;=$M71,$L71=$M71),"节点当日",IF(AND('今日提醒'!$B$2&gt;=$L71,'今日提醒'!$B$2&lt;=$M71,'今日提醒'!$B$2&gt;$S71),"收尾下滑",IF(AND('今日提醒'!$B$2&gt;=$L71,'今日提醒'!$B$2&lt;=$M71),"节点进行中",IF(AND('今日提醒'!$B$2&gt;$M71,'今日提醒'!$B$2&lt;=$S71),"节后清尾",IF(AND('今日提醒'!$B$2&gt;=$R71,'今日提醒'!$B$2&lt;=$S71),"高频跟进",IF(AND('今日提醒'!$B$2&gt;=($R71-14),'今日提醒'!$B$2&lt;$R71,'今日提醒'!$B$2&lt;$L71),"临近高频",IF(AND(OR($A71="Chinese New Year",$A71="Super Bowl",$A71="Valentine's Day",$A71="Valentine Week",$A71="St. Patrick's Day",$A71="Easter",$A71="Graduation Season",$A71="Prom Season",$A71="Teacher Appreciation Week",$A71="Mother's Day",$A71="Memorial Day",$A71="Father's Day",$A71="Independence Day",$A71="Back-to-School Season",$A71="Labor Day",$A71="Halloween",$A71="Thanksgiving",$A71="Black Friday / Cyber Monday",$A71="Christmas",$A71="New Year's Eve / New Year Season"),'今日提醒'!$B$2&gt;=($R71-30),'今日提醒'!$B$2&lt;$R71,'今日提醒'!$B$2&lt;$L71),"大节气提前",IF(AND('今日提醒'!$B$2&gt;=$P71,'今日提醒'!$B$2&lt;=$Q71),"二次排查",IF(AND(OR($A71="Chinese New Year",$A71="Super Bowl",$A71="Valentine's Day",$A71="Valentine Week",$A71="St. Patrick's Day",$A71="Easter",$A71="Graduation Season",$A71="Prom Season",$A71="Teacher Appreciation Week",$A71="Mother's Day",$A71="Memorial Day",$A71="Father's Day",$A71="Independence Day",$A71="Back-to-School Season",$A71="Labor Day",$A71="Halloween",$A71="Thanksgiving",$A71="Black Friday / Cyber Monday",$A71="Christmas",$A71="New Year's Eve / New Year Season"),'今日提醒'!$B$2&gt;=($P71-14),'今日提醒'!$B$2&lt;$P71,'今日提醒'!$B$2&lt;$L71),"临近二次",IF(AND('今日提醒'!$B$2&gt;=$N71,'今日提醒'!$B$2&lt;=$O71),"一次排查",IF('今日提醒'!$B$2&lt;$N71,"未到排查",IF('今日提醒'!$B$2&lt;$L71,"等待下一窗口","已过"))))))))))))</x:f>
        <x:v>临近高频</x:v>
      </x:c>
      <x:c r="K71" s="41" t="str">
        <x:f>IF($J71="收尾下滑","主购买/高频窗口已过，流量可能走弱：不要盲目加预算或新建组；优先看库存压力、ACOS、广告占比、自然单，仅保留高转化词，计算清货/留仓。",IF($J71="节后清尾","节点已过但仍在清尾窗口：控低效词、降无效预算，复盘转化词；库存重则算清货，库存轻则吃完尾流。",IF($J71="节点当日","今天就是节点当日：优先看转化、库存承接、广告花费和尾流风险；可以吃最后一波有效流量，但不要再大范围新建或盲目加预算。",IF($J71="节点进行中","当前在节点/销售窗口内：这是进行中，不是预热；重点看销量、库存承接、广告花费、转化和是否已出现流量下滑。",IF($J71="高频跟进","今天在高频跟进窗口：头部SKU每日看；重点看高库存、高花费、断货风险和ACOS。",IF($J71="临近高频","高频窗口即将开始：今天先预查广告结构、关键词/ASIN、Listing埋词、库存承接和预算，避免临近节点再补。",IF($J71="大节气提前","大节气提前窗口：不要等高频当天再动；今天先锁定主推SKU、库存承接、Listing节日词、广告结构和预算上限，低相关/低库存产品不硬推。",IF($J71="二次排查","今天在二次排查窗口：补广告结构、关键词/ASIN、预算和Listing埋词。",IF($J71="临近二次","大节气二次排查即将开始：提前准备词/ASIN/图片/价格/促销，不等窗口当天才补结构。",IF($J71="一次排查","今天在一次排查窗口：先筛SKU，看历史动销、库存、利润和Listing匹配。",IF($J71="未到排查","暂不处理，等一次排查窗口。",IF($J71="等待下一窗口","暂不在排查窗口；等高频或节点开始，除非有库存/广告异常。","已过：复盘、降投、清尾或沉淀明年节点。"))))))))))))</x:f>
        <x:v>高频窗口即将开始：今天先预查广告结构、关键词/ASIN、Listing埋词、库存承接和预算，避免临近节点再补。</x:v>
      </x:c>
      <x:c r="L71" s="42" t="n">
        <x:v>46187</x:v>
      </x:c>
      <x:c r="M71" s="42" t="n">
        <x:v>46187</x:v>
      </x:c>
      <x:c r="N71" s="42" t="n">
        <x:v>46127</x:v>
      </x:c>
      <x:c r="O71" s="42" t="n">
        <x:v>46142</x:v>
      </x:c>
      <x:c r="P71" s="42" t="n">
        <x:v>46157</x:v>
      </x:c>
      <x:c r="Q71" s="42" t="n">
        <x:v>46166</x:v>
      </x:c>
      <x:c r="R71" s="42" t="n">
        <x:v>46173</x:v>
      </x:c>
      <x:c r="S71" s="42" t="n">
        <x:v>46189</x:v>
      </x:c>
      <x:c r="T71" s="43" t="n">
        <x:f>$L71-'今日提醒'!$B$2</x:f>
        <x:v>20</x:v>
      </x:c>
      <x:c r="U71" s="74" t="n">
        <x:f>IF(OR($J71="收尾下滑",$J71="节后清尾",$J71="节点当日",$J71="节点进行中",$J71="高频跟进",$J71="临近高频",$J71="大节气提前",$J71="二次排查",$J71="临近二次",$J71="一次排查"),IF($J71="收尾下滑",1,IF($J71="节后清尾",2,IF($J71="节点当日",3,IF($J71="节点进行中",4,IF($J71="高频跟进",5,IF($J71="临近高频",6,IF($J71="大节气提前",7,IF($J71="二次排查",8,IF($J71="临近二次",9,10)))))))))*100000+ROW(),99999999+ROW())</x:f>
        <x:v>600071</x:v>
      </x:c>
      <x:c r="V71" s="15" t="str">
        <x:f>IF(OR($J71="收尾下滑",$J71="节后清尾"),"风险/止损",IF($J71="节点当日","机会/当日冲刺",IF($J71="节点进行中","机会/进行中",IF($J71="高频跟进","机会/高频",IF($J71="大节气提前","机会/大节气提前",IF(OR($J71="临近高频",$J71="临近二次",$J71="二次排查",$J71="一次排查"),"机会/预热","非今日"))))))</x:f>
        <x:v>机会/预热</x:v>
      </x:c>
      <x:c r="W71" s="15" t="str">
        <x:f>IF($J71="收尾下滑","控投/清尾/算留仓",IF($J71="节后清尾","节后降投/复盘",IF($J71="节点当日","当日冲刺/控尾流",IF($J71="节点进行中","转化监控/看趋势",IF($J71="高频跟进","放量+控ACOS",IF($J71="大节气提前","提前锁结构/预算",IF($J71="临近高频","预查结构/埋词",IF($J71="临近二次","提前补结构/埋词",IF($J71="二次排查","补结构/补词",IF($J71="一次排查","筛SKU/核库存","暂无"))))))))))</x:f>
        <x:v>预查结构/埋词</x:v>
      </x:c>
      <x:c r="X71" s="15" t="str">
        <x:f>IF(AND('今日提醒'!$B$2&gt;=$L71,'今日提醒'!$B$2&lt;=$M71,$L71=$M71),"节点当日：不是预热",IF(AND('今日提醒'!$B$2&gt;=$L71,'今日提醒'!$B$2&lt;=$M71,'今日提醒'!$B$2&gt;$S71),"高频已结束但销售窗口未结束：疑似尾期/下滑",IF(AND('今日提醒'!$B$2&gt;$M71,'今日提醒'!$B$2&lt;=$S71),"节点已过但仍在清尾窗口",IF($J71="大节气提前","大节气高频前30天：提前进入主推准备",IF($J71="临近二次","大节气二次排查前14天：提前准备","")))))</x:f>
      </x:c>
    </x:row>
    <x:row r="72" ht="58" hidden="0" customHeight="1">
      <x:c r="A72" s="41" t="str">
        <x:v>Juneteenth</x:v>
      </x:c>
      <x:c r="B72" s="41" t="str">
        <x:v>六月节/解放日</x:v>
      </x:c>
      <x:c r="C72" s="41" t="str">
        <x:v>纪念美国奴隶制结束的重要联邦假日，适合自由、平权、文化教育主题，商业表达需谨慎。</x:v>
      </x:c>
      <x:c r="D72" s="41" t="str">
        <x:v>2026-06-19</x:v>
      </x:c>
      <x:c r="E72" s="41" t="str">
        <x:v>固定日期</x:v>
      </x:c>
      <x:c r="F72" s="41" t="str">
        <x:v>意识/支持类产品：丝带、手链、鼓励卡、贴纸；敏感节点商业化要克制</x:v>
      </x:c>
      <x:c r="G72" s="41" t="str">
        <x:v>2026-03-21 ~ 2026-04-05：先确认产品真实匹配，避免硬蹭敏感议题。</x:v>
      </x:c>
      <x:c r="H72" s="41" t="str">
        <x:v>2026-05-05 ~ 2026-05-15：检查图片/文案/关键词是否克制且合规。</x:v>
      </x:c>
      <x:c r="I72" s="41" t="str">
        <x:v>2026-06-05 ~ 2026-06-19：每2-3天看；表现差或表达风险高就停。</x:v>
      </x:c>
      <x:c r="J72" s="41" t="str">
        <x:f>IF(AND('今日提醒'!$B$2&gt;=$L72,'今日提醒'!$B$2&lt;=$M72,$L72=$M72),"节点当日",IF(AND('今日提醒'!$B$2&gt;=$L72,'今日提醒'!$B$2&lt;=$M72,'今日提醒'!$B$2&gt;$S72),"收尾下滑",IF(AND('今日提醒'!$B$2&gt;=$L72,'今日提醒'!$B$2&lt;=$M72),"节点进行中",IF(AND('今日提醒'!$B$2&gt;$M72,'今日提醒'!$B$2&lt;=$S72),"节后清尾",IF(AND('今日提醒'!$B$2&gt;=$R72,'今日提醒'!$B$2&lt;=$S72),"高频跟进",IF(AND('今日提醒'!$B$2&gt;=($R72-14),'今日提醒'!$B$2&lt;$R72,'今日提醒'!$B$2&lt;$L72),"临近高频",IF(AND(OR($A72="Chinese New Year",$A72="Super Bowl",$A72="Valentine's Day",$A72="Valentine Week",$A72="St. Patrick's Day",$A72="Easter",$A72="Graduation Season",$A72="Prom Season",$A72="Teacher Appreciation Week",$A72="Mother's Day",$A72="Memorial Day",$A72="Father's Day",$A72="Independence Day",$A72="Back-to-School Season",$A72="Labor Day",$A72="Halloween",$A72="Thanksgiving",$A72="Black Friday / Cyber Monday",$A72="Christmas",$A72="New Year's Eve / New Year Season"),'今日提醒'!$B$2&gt;=($R72-30),'今日提醒'!$B$2&lt;$R72,'今日提醒'!$B$2&lt;$L72),"大节气提前",IF(AND('今日提醒'!$B$2&gt;=$P72,'今日提醒'!$B$2&lt;=$Q72),"二次排查",IF(AND(OR($A72="Chinese New Year",$A72="Super Bowl",$A72="Valentine's Day",$A72="Valentine Week",$A72="St. Patrick's Day",$A72="Easter",$A72="Graduation Season",$A72="Prom Season",$A72="Teacher Appreciation Week",$A72="Mother's Day",$A72="Memorial Day",$A72="Father's Day",$A72="Independence Day",$A72="Back-to-School Season",$A72="Labor Day",$A72="Halloween",$A72="Thanksgiving",$A72="Black Friday / Cyber Monday",$A72="Christmas",$A72="New Year's Eve / New Year Season"),'今日提醒'!$B$2&gt;=($P72-14),'今日提醒'!$B$2&lt;$P72,'今日提醒'!$B$2&lt;$L72),"临近二次",IF(AND('今日提醒'!$B$2&gt;=$N72,'今日提醒'!$B$2&lt;=$O72),"一次排查",IF('今日提醒'!$B$2&lt;$N72,"未到排查",IF('今日提醒'!$B$2&lt;$L72,"等待下一窗口","已过"))))))))))))</x:f>
        <x:v>临近高频</x:v>
      </x:c>
      <x:c r="K72" s="41" t="str">
        <x:f>IF($J72="收尾下滑","主购买/高频窗口已过，流量可能走弱：不要盲目加预算或新建组；优先看库存压力、ACOS、广告占比、自然单，仅保留高转化词，计算清货/留仓。",IF($J72="节后清尾","节点已过但仍在清尾窗口：控低效词、降无效预算，复盘转化词；库存重则算清货，库存轻则吃完尾流。",IF($J72="节点当日","今天就是节点当日：优先看转化、库存承接、广告花费和尾流风险；可以吃最后一波有效流量，但不要再大范围新建或盲目加预算。",IF($J72="节点进行中","当前在节点/销售窗口内：这是进行中，不是预热；重点看销量、库存承接、广告花费、转化和是否已出现流量下滑。",IF($J72="高频跟进","今天在高频跟进窗口：头部SKU每日看；重点看高库存、高花费、断货风险和ACOS。",IF($J72="临近高频","高频窗口即将开始：今天先预查广告结构、关键词/ASIN、Listing埋词、库存承接和预算，避免临近节点再补。",IF($J72="大节气提前","大节气提前窗口：不要等高频当天再动；今天先锁定主推SKU、库存承接、Listing节日词、广告结构和预算上限，低相关/低库存产品不硬推。",IF($J72="二次排查","今天在二次排查窗口：补广告结构、关键词/ASIN、预算和Listing埋词。",IF($J72="临近二次","大节气二次排查即将开始：提前准备词/ASIN/图片/价格/促销，不等窗口当天才补结构。",IF($J72="一次排查","今天在一次排查窗口：先筛SKU，看历史动销、库存、利润和Listing匹配。",IF($J72="未到排查","暂不处理，等一次排查窗口。",IF($J72="等待下一窗口","暂不在排查窗口；等高频或节点开始，除非有库存/广告异常。","已过：复盘、降投、清尾或沉淀明年节点。"))))))))))))</x:f>
        <x:v>高频窗口即将开始：今天先预查广告结构、关键词/ASIN、Listing埋词、库存承接和预算，避免临近节点再补。</x:v>
      </x:c>
      <x:c r="L72" s="42" t="n">
        <x:v>46192</x:v>
      </x:c>
      <x:c r="M72" s="42" t="n">
        <x:v>46192</x:v>
      </x:c>
      <x:c r="N72" s="42" t="n">
        <x:v>46102</x:v>
      </x:c>
      <x:c r="O72" s="42" t="n">
        <x:v>46117</x:v>
      </x:c>
      <x:c r="P72" s="42" t="n">
        <x:v>46147</x:v>
      </x:c>
      <x:c r="Q72" s="42" t="n">
        <x:v>46157</x:v>
      </x:c>
      <x:c r="R72" s="42" t="n">
        <x:v>46178</x:v>
      </x:c>
      <x:c r="S72" s="42" t="n">
        <x:v>46192</x:v>
      </x:c>
      <x:c r="T72" s="43" t="n">
        <x:f>$L72-'今日提醒'!$B$2</x:f>
        <x:v>25</x:v>
      </x:c>
      <x:c r="U72" s="74" t="n">
        <x:f>IF(OR($J72="收尾下滑",$J72="节后清尾",$J72="节点当日",$J72="节点进行中",$J72="高频跟进",$J72="临近高频",$J72="大节气提前",$J72="二次排查",$J72="临近二次",$J72="一次排查"),IF($J72="收尾下滑",1,IF($J72="节后清尾",2,IF($J72="节点当日",3,IF($J72="节点进行中",4,IF($J72="高频跟进",5,IF($J72="临近高频",6,IF($J72="大节气提前",7,IF($J72="二次排查",8,IF($J72="临近二次",9,10)))))))))*100000+ROW(),99999999+ROW())</x:f>
        <x:v>600072</x:v>
      </x:c>
      <x:c r="V72" s="15" t="str">
        <x:f>IF(OR($J72="收尾下滑",$J72="节后清尾"),"风险/止损",IF($J72="节点当日","机会/当日冲刺",IF($J72="节点进行中","机会/进行中",IF($J72="高频跟进","机会/高频",IF($J72="大节气提前","机会/大节气提前",IF(OR($J72="临近高频",$J72="临近二次",$J72="二次排查",$J72="一次排查"),"机会/预热","非今日"))))))</x:f>
        <x:v>机会/预热</x:v>
      </x:c>
      <x:c r="W72" s="15" t="str">
        <x:f>IF($J72="收尾下滑","控投/清尾/算留仓",IF($J72="节后清尾","节后降投/复盘",IF($J72="节点当日","当日冲刺/控尾流",IF($J72="节点进行中","转化监控/看趋势",IF($J72="高频跟进","放量+控ACOS",IF($J72="大节气提前","提前锁结构/预算",IF($J72="临近高频","预查结构/埋词",IF($J72="临近二次","提前补结构/埋词",IF($J72="二次排查","补结构/补词",IF($J72="一次排查","筛SKU/核库存","暂无"))))))))))</x:f>
        <x:v>预查结构/埋词</x:v>
      </x:c>
      <x:c r="X72" s="15" t="str">
        <x:f>IF(AND('今日提醒'!$B$2&gt;=$L72,'今日提醒'!$B$2&lt;=$M72,$L72=$M72),"节点当日：不是预热",IF(AND('今日提醒'!$B$2&gt;=$L72,'今日提醒'!$B$2&lt;=$M72,'今日提醒'!$B$2&gt;$S72),"高频已结束但销售窗口未结束：疑似尾期/下滑",IF(AND('今日提醒'!$B$2&gt;$M72,'今日提醒'!$B$2&lt;=$S72),"节点已过但仍在清尾窗口",IF($J72="大节气提前","大节气高频前30天：提前进入主推准备",IF($J72="临近二次","大节气二次排查前14天：提前准备","")))))</x:f>
      </x:c>
    </x:row>
    <x:row r="73" ht="58" hidden="0" customHeight="1">
      <x:c r="A73" s="41" t="str">
        <x:v>Father's Day</x:v>
      </x:c>
      <x:c r="B73" s="41" t="str">
        <x:v>父亲节</x:v>
      </x:c>
      <x:c r="C73" s="41" t="str">
        <x:v>父亲、爷爷、丈夫礼品节点，适合dad gift、garage、tool、Christian dad等方向。</x:v>
      </x:c>
      <x:c r="D73" s="41" t="str">
        <x:v>2026-06-21</x:v>
      </x:c>
      <x:c r="E73" s="41" t="str">
        <x:v>每年变动</x:v>
      </x:c>
      <x:c r="F73" s="41" t="str">
        <x:v>dad gifts、father keychain、工具/户外风小礼、感谢卡</x:v>
      </x:c>
      <x:c r="G73" s="41" t="str">
        <x:v>2026-02-21 ~ 2026-03-23：先看历史销量、库存/FBA承接、是否需要改Listing。</x:v>
      </x:c>
      <x:c r="H73" s="41" t="str">
        <x:v>2026-04-22 ~ 2026-05-07：广告结构、关键词/ASIN、标题主图必须基本到位。</x:v>
      </x:c>
      <x:c r="I73" s="41" t="str">
        <x:v>2026-05-31 ~ 2026-06-24：头部SKU每日看，过后及时降投/清尾。</x:v>
      </x:c>
      <x:c r="J73" s="41" t="str">
        <x:f>IF(AND('今日提醒'!$B$2&gt;=$L73,'今日提醒'!$B$2&lt;=$M73,$L73=$M73),"节点当日",IF(AND('今日提醒'!$B$2&gt;=$L73,'今日提醒'!$B$2&lt;=$M73,'今日提醒'!$B$2&gt;$S73),"收尾下滑",IF(AND('今日提醒'!$B$2&gt;=$L73,'今日提醒'!$B$2&lt;=$M73),"节点进行中",IF(AND('今日提醒'!$B$2&gt;$M73,'今日提醒'!$B$2&lt;=$S73),"节后清尾",IF(AND('今日提醒'!$B$2&gt;=$R73,'今日提醒'!$B$2&lt;=$S73),"高频跟进",IF(AND('今日提醒'!$B$2&gt;=($R73-14),'今日提醒'!$B$2&lt;$R73,'今日提醒'!$B$2&lt;$L73),"临近高频",IF(AND(OR($A73="Chinese New Year",$A73="Super Bowl",$A73="Valentine's Day",$A73="Valentine Week",$A73="St. Patrick's Day",$A73="Easter",$A73="Graduation Season",$A73="Prom Season",$A73="Teacher Appreciation Week",$A73="Mother's Day",$A73="Memorial Day",$A73="Father's Day",$A73="Independence Day",$A73="Back-to-School Season",$A73="Labor Day",$A73="Halloween",$A73="Thanksgiving",$A73="Black Friday / Cyber Monday",$A73="Christmas",$A73="New Year's Eve / New Year Season"),'今日提醒'!$B$2&gt;=($R73-30),'今日提醒'!$B$2&lt;$R73,'今日提醒'!$B$2&lt;$L73),"大节气提前",IF(AND('今日提醒'!$B$2&gt;=$P73,'今日提醒'!$B$2&lt;=$Q73),"二次排查",IF(AND(OR($A73="Chinese New Year",$A73="Super Bowl",$A73="Valentine's Day",$A73="Valentine Week",$A73="St. Patrick's Day",$A73="Easter",$A73="Graduation Season",$A73="Prom Season",$A73="Teacher Appreciation Week",$A73="Mother's Day",$A73="Memorial Day",$A73="Father's Day",$A73="Independence Day",$A73="Back-to-School Season",$A73="Labor Day",$A73="Halloween",$A73="Thanksgiving",$A73="Black Friday / Cyber Monday",$A73="Christmas",$A73="New Year's Eve / New Year Season"),'今日提醒'!$B$2&gt;=($P73-14),'今日提醒'!$B$2&lt;$P73,'今日提醒'!$B$2&lt;$L73),"临近二次",IF(AND('今日提醒'!$B$2&gt;=$N73,'今日提醒'!$B$2&lt;=$O73),"一次排查",IF('今日提醒'!$B$2&lt;$N73,"未到排查",IF('今日提醒'!$B$2&lt;$L73,"等待下一窗口","已过"))))))))))))</x:f>
        <x:v>临近高频</x:v>
      </x:c>
      <x:c r="K73" s="41" t="str">
        <x:f>IF($J73="收尾下滑","主购买/高频窗口已过，流量可能走弱：不要盲目加预算或新建组；优先看库存压力、ACOS、广告占比、自然单，仅保留高转化词，计算清货/留仓。",IF($J73="节后清尾","节点已过但仍在清尾窗口：控低效词、降无效预算，复盘转化词；库存重则算清货，库存轻则吃完尾流。",IF($J73="节点当日","今天就是节点当日：优先看转化、库存承接、广告花费和尾流风险；可以吃最后一波有效流量，但不要再大范围新建或盲目加预算。",IF($J73="节点进行中","当前在节点/销售窗口内：这是进行中，不是预热；重点看销量、库存承接、广告花费、转化和是否已出现流量下滑。",IF($J73="高频跟进","今天在高频跟进窗口：头部SKU每日看；重点看高库存、高花费、断货风险和ACOS。",IF($J73="临近高频","高频窗口即将开始：今天先预查广告结构、关键词/ASIN、Listing埋词、库存承接和预算，避免临近节点再补。",IF($J73="大节气提前","大节气提前窗口：不要等高频当天再动；今天先锁定主推SKU、库存承接、Listing节日词、广告结构和预算上限，低相关/低库存产品不硬推。",IF($J73="二次排查","今天在二次排查窗口：补广告结构、关键词/ASIN、预算和Listing埋词。",IF($J73="临近二次","大节气二次排查即将开始：提前准备词/ASIN/图片/价格/促销，不等窗口当天才补结构。",IF($J73="一次排查","今天在一次排查窗口：先筛SKU，看历史动销、库存、利润和Listing匹配。",IF($J73="未到排查","暂不处理，等一次排查窗口。",IF($J73="等待下一窗口","暂不在排查窗口；等高频或节点开始，除非有库存/广告异常。","已过：复盘、降投、清尾或沉淀明年节点。"))))))))))))</x:f>
        <x:v>高频窗口即将开始：今天先预查广告结构、关键词/ASIN、Listing埋词、库存承接和预算，避免临近节点再补。</x:v>
      </x:c>
      <x:c r="L73" s="42" t="n">
        <x:v>46194</x:v>
      </x:c>
      <x:c r="M73" s="42" t="n">
        <x:v>46194</x:v>
      </x:c>
      <x:c r="N73" s="42" t="n">
        <x:v>46074</x:v>
      </x:c>
      <x:c r="O73" s="42" t="n">
        <x:v>46104</x:v>
      </x:c>
      <x:c r="P73" s="42" t="n">
        <x:v>46134</x:v>
      </x:c>
      <x:c r="Q73" s="42" t="n">
        <x:v>46149</x:v>
      </x:c>
      <x:c r="R73" s="42" t="n">
        <x:v>46173</x:v>
      </x:c>
      <x:c r="S73" s="42" t="n">
        <x:v>46197</x:v>
      </x:c>
      <x:c r="T73" s="43" t="n">
        <x:f>$L73-'今日提醒'!$B$2</x:f>
        <x:v>27</x:v>
      </x:c>
      <x:c r="U73" s="74" t="n">
        <x:f>IF(OR($J73="收尾下滑",$J73="节后清尾",$J73="节点当日",$J73="节点进行中",$J73="高频跟进",$J73="临近高频",$J73="大节气提前",$J73="二次排查",$J73="临近二次",$J73="一次排查"),IF($J73="收尾下滑",1,IF($J73="节后清尾",2,IF($J73="节点当日",3,IF($J73="节点进行中",4,IF($J73="高频跟进",5,IF($J73="临近高频",6,IF($J73="大节气提前",7,IF($J73="二次排查",8,IF($J73="临近二次",9,10)))))))))*100000+ROW(),99999999+ROW())</x:f>
        <x:v>600073</x:v>
      </x:c>
      <x:c r="V73" s="15" t="str">
        <x:f>IF(OR($J73="收尾下滑",$J73="节后清尾"),"风险/止损",IF($J73="节点当日","机会/当日冲刺",IF($J73="节点进行中","机会/进行中",IF($J73="高频跟进","机会/高频",IF($J73="大节气提前","机会/大节气提前",IF(OR($J73="临近高频",$J73="临近二次",$J73="二次排查",$J73="一次排查"),"机会/预热","非今日"))))))</x:f>
        <x:v>机会/预热</x:v>
      </x:c>
      <x:c r="W73" s="15" t="str">
        <x:f>IF($J73="收尾下滑","控投/清尾/算留仓",IF($J73="节后清尾","节后降投/复盘",IF($J73="节点当日","当日冲刺/控尾流",IF($J73="节点进行中","转化监控/看趋势",IF($J73="高频跟进","放量+控ACOS",IF($J73="大节气提前","提前锁结构/预算",IF($J73="临近高频","预查结构/埋词",IF($J73="临近二次","提前补结构/埋词",IF($J73="二次排查","补结构/补词",IF($J73="一次排查","筛SKU/核库存","暂无"))))))))))</x:f>
        <x:v>预查结构/埋词</x:v>
      </x:c>
      <x:c r="X73" s="15" t="str">
        <x:f>IF(AND('今日提醒'!$B$2&gt;=$L73,'今日提醒'!$B$2&lt;=$M73,$L73=$M73),"节点当日：不是预热",IF(AND('今日提醒'!$B$2&gt;=$L73,'今日提醒'!$B$2&lt;=$M73,'今日提醒'!$B$2&gt;$S73),"高频已结束但销售窗口未结束：疑似尾期/下滑",IF(AND('今日提醒'!$B$2&gt;$M73,'今日提醒'!$B$2&lt;=$S73),"节点已过但仍在清尾窗口",IF($J73="大节气提前","大节气高频前30天：提前进入主推准备",IF($J73="临近二次","大节气二次排查前14天：提前准备","")))))</x:f>
      </x:c>
    </x:row>
    <x:row r="74" ht="58" hidden="0" customHeight="1">
      <x:c r="A74" s="41" t="str">
        <x:v>CNA Week / National Nursing Assistants Week</x:v>
      </x:c>
      <x:c r="B74" s="41" t="str">
        <x:v>CNA护理助理周/护理助理周</x:v>
      </x:c>
      <x:c r="C74" s="41" t="str">
        <x:v>表彰Certified Nursing Assistant等一线护理助理岗位。</x:v>
      </x:c>
      <x:c r="D74" s="41" t="str">
        <x:v>2026-06-11 ~ 2026-06-17</x:v>
      </x:c>
      <x:c r="E74" s="41" t="str">
        <x:v>每年变动</x:v>
      </x:c>
      <x:c r="F74" s="41" t="str">
        <x:v>CNA gifts、nursing assistant感谢礼、badge reel、钥匙扣</x:v>
      </x:c>
      <x:c r="G74" s="41" t="str">
        <x:v>2026-03-28 ~ 2026-04-12：按职业词筛SKU，核库存、历史动销和礼品适配。</x:v>
      </x:c>
      <x:c r="H74" s="41" t="str">
        <x:v>2026-05-02 ~ 2026-05-12：建/补广告组，补关键词/ASIN，处理低效流量。</x:v>
      </x:c>
      <x:c r="I74" s="41" t="str">
        <x:v>2026-05-28 ~ 2026-06-17：高库存/高花费SKU每日看，其余2-3天看。</x:v>
      </x:c>
      <x:c r="J74" s="41" t="str">
        <x:f>IF(AND('今日提醒'!$B$2&gt;=$L74,'今日提醒'!$B$2&lt;=$M74,$L74=$M74),"节点当日",IF(AND('今日提醒'!$B$2&gt;=$L74,'今日提醒'!$B$2&lt;=$M74,'今日提醒'!$B$2&gt;$S74),"收尾下滑",IF(AND('今日提醒'!$B$2&gt;=$L74,'今日提醒'!$B$2&lt;=$M74),"节点进行中",IF(AND('今日提醒'!$B$2&gt;$M74,'今日提醒'!$B$2&lt;=$S74),"节后清尾",IF(AND('今日提醒'!$B$2&gt;=$R74,'今日提醒'!$B$2&lt;=$S74),"高频跟进",IF(AND('今日提醒'!$B$2&gt;=($R74-14),'今日提醒'!$B$2&lt;$R74,'今日提醒'!$B$2&lt;$L74),"临近高频",IF(AND(OR($A74="Chinese New Year",$A74="Super Bowl",$A74="Valentine's Day",$A74="Valentine Week",$A74="St. Patrick's Day",$A74="Easter",$A74="Graduation Season",$A74="Prom Season",$A74="Teacher Appreciation Week",$A74="Mother's Day",$A74="Memorial Day",$A74="Father's Day",$A74="Independence Day",$A74="Back-to-School Season",$A74="Labor Day",$A74="Halloween",$A74="Thanksgiving",$A74="Black Friday / Cyber Monday",$A74="Christmas",$A74="New Year's Eve / New Year Season"),'今日提醒'!$B$2&gt;=($R74-30),'今日提醒'!$B$2&lt;$R74,'今日提醒'!$B$2&lt;$L74),"大节气提前",IF(AND('今日提醒'!$B$2&gt;=$P74,'今日提醒'!$B$2&lt;=$Q74),"二次排查",IF(AND(OR($A74="Chinese New Year",$A74="Super Bowl",$A74="Valentine's Day",$A74="Valentine Week",$A74="St. Patrick's Day",$A74="Easter",$A74="Graduation Season",$A74="Prom Season",$A74="Teacher Appreciation Week",$A74="Mother's Day",$A74="Memorial Day",$A74="Father's Day",$A74="Independence Day",$A74="Back-to-School Season",$A74="Labor Day",$A74="Halloween",$A74="Thanksgiving",$A74="Black Friday / Cyber Monday",$A74="Christmas",$A74="New Year's Eve / New Year Season"),'今日提醒'!$B$2&gt;=($P74-14),'今日提醒'!$B$2&lt;$P74,'今日提醒'!$B$2&lt;$L74),"临近二次",IF(AND('今日提醒'!$B$2&gt;=$N74,'今日提醒'!$B$2&lt;=$O74),"一次排查",IF('今日提醒'!$B$2&lt;$N74,"未到排查",IF('今日提醒'!$B$2&lt;$L74,"等待下一窗口","已过"))))))))))))</x:f>
        <x:v>临近高频</x:v>
      </x:c>
      <x:c r="K74" s="41" t="str">
        <x:f>IF($J74="收尾下滑","主购买/高频窗口已过，流量可能走弱：不要盲目加预算或新建组；优先看库存压力、ACOS、广告占比、自然单，仅保留高转化词，计算清货/留仓。",IF($J74="节后清尾","节点已过但仍在清尾窗口：控低效词、降无效预算，复盘转化词；库存重则算清货，库存轻则吃完尾流。",IF($J74="节点当日","今天就是节点当日：优先看转化、库存承接、广告花费和尾流风险；可以吃最后一波有效流量，但不要再大范围新建或盲目加预算。",IF($J74="节点进行中","当前在节点/销售窗口内：这是进行中，不是预热；重点看销量、库存承接、广告花费、转化和是否已出现流量下滑。",IF($J74="高频跟进","今天在高频跟进窗口：头部SKU每日看；重点看高库存、高花费、断货风险和ACOS。",IF($J74="临近高频","高频窗口即将开始：今天先预查广告结构、关键词/ASIN、Listing埋词、库存承接和预算，避免临近节点再补。",IF($J74="大节气提前","大节气提前窗口：不要等高频当天再动；今天先锁定主推SKU、库存承接、Listing节日词、广告结构和预算上限，低相关/低库存产品不硬推。",IF($J74="二次排查","今天在二次排查窗口：补广告结构、关键词/ASIN、预算和Listing埋词。",IF($J74="临近二次","大节气二次排查即将开始：提前准备词/ASIN/图片/价格/促销，不等窗口当天才补结构。",IF($J74="一次排查","今天在一次排查窗口：先筛SKU，看历史动销、库存、利润和Listing匹配。",IF($J74="未到排查","暂不处理，等一次排查窗口。",IF($J74="等待下一窗口","暂不在排查窗口；等高频或节点开始，除非有库存/广告异常。","已过：复盘、降投、清尾或沉淀明年节点。"))))))))))))</x:f>
        <x:v>高频窗口即将开始：今天先预查广告结构、关键词/ASIN、Listing埋词、库存承接和预算，避免临近节点再补。</x:v>
      </x:c>
      <x:c r="L74" s="42" t="n">
        <x:v>46184</x:v>
      </x:c>
      <x:c r="M74" s="42" t="n">
        <x:v>46190</x:v>
      </x:c>
      <x:c r="N74" s="42" t="n">
        <x:v>46109</x:v>
      </x:c>
      <x:c r="O74" s="42" t="n">
        <x:v>46124</x:v>
      </x:c>
      <x:c r="P74" s="42" t="n">
        <x:v>46144</x:v>
      </x:c>
      <x:c r="Q74" s="42" t="n">
        <x:v>46154</x:v>
      </x:c>
      <x:c r="R74" s="42" t="n">
        <x:v>46170</x:v>
      </x:c>
      <x:c r="S74" s="42" t="n">
        <x:v>46190</x:v>
      </x:c>
      <x:c r="T74" s="43" t="n">
        <x:f>$L74-'今日提醒'!$B$2</x:f>
        <x:v>17</x:v>
      </x:c>
      <x:c r="U74" s="74" t="n">
        <x:f>IF(OR($J74="收尾下滑",$J74="节后清尾",$J74="节点当日",$J74="节点进行中",$J74="高频跟进",$J74="临近高频",$J74="大节气提前",$J74="二次排查",$J74="临近二次",$J74="一次排查"),IF($J74="收尾下滑",1,IF($J74="节后清尾",2,IF($J74="节点当日",3,IF($J74="节点进行中",4,IF($J74="高频跟进",5,IF($J74="临近高频",6,IF($J74="大节气提前",7,IF($J74="二次排查",8,IF($J74="临近二次",9,10)))))))))*100000+ROW(),99999999+ROW())</x:f>
        <x:v>600074</x:v>
      </x:c>
      <x:c r="V74" s="15" t="str">
        <x:f>IF(OR($J74="收尾下滑",$J74="节后清尾"),"风险/止损",IF($J74="节点当日","机会/当日冲刺",IF($J74="节点进行中","机会/进行中",IF($J74="高频跟进","机会/高频",IF($J74="大节气提前","机会/大节气提前",IF(OR($J74="临近高频",$J74="临近二次",$J74="二次排查",$J74="一次排查"),"机会/预热","非今日"))))))</x:f>
        <x:v>机会/预热</x:v>
      </x:c>
      <x:c r="W74" s="15" t="str">
        <x:f>IF($J74="收尾下滑","控投/清尾/算留仓",IF($J74="节后清尾","节后降投/复盘",IF($J74="节点当日","当日冲刺/控尾流",IF($J74="节点进行中","转化监控/看趋势",IF($J74="高频跟进","放量+控ACOS",IF($J74="大节气提前","提前锁结构/预算",IF($J74="临近高频","预查结构/埋词",IF($J74="临近二次","提前补结构/埋词",IF($J74="二次排查","补结构/补词",IF($J74="一次排查","筛SKU/核库存","暂无"))))))))))</x:f>
        <x:v>预查结构/埋词</x:v>
      </x:c>
      <x:c r="X74" s="15" t="str">
        <x:f>IF(AND('今日提醒'!$B$2&gt;=$L74,'今日提醒'!$B$2&lt;=$M74,$L74=$M74),"节点当日：不是预热",IF(AND('今日提醒'!$B$2&gt;=$L74,'今日提醒'!$B$2&lt;=$M74,'今日提醒'!$B$2&gt;$S74),"高频已结束但销售窗口未结束：疑似尾期/下滑",IF(AND('今日提醒'!$B$2&gt;$M74,'今日提醒'!$B$2&lt;=$S74),"节点已过但仍在清尾窗口",IF($J74="大节气提前","大节气高频前30天：提前进入主推准备",IF($J74="临近二次","大节气二次排查前14天：提前准备","")))))</x:f>
      </x:c>
    </x:row>
    <x:row r="75" ht="58" hidden="0" customHeight="1">
      <x:c r="A75" s="41" t="str">
        <x:v>Independence Day</x:v>
      </x:c>
      <x:c r="B75" s="41" t="str">
        <x:v>美国独立日</x:v>
      </x:c>
      <x:c r="C75" s="41" t="str">
        <x:v>美国国庆主题节点，带动国旗、红白蓝、户外派对、装饰用品。</x:v>
      </x:c>
      <x:c r="D75" s="41" t="str">
        <x:v>2026-07-04</x:v>
      </x:c>
      <x:c r="E75" s="41" t="str">
        <x:v>固定日期</x:v>
      </x:c>
      <x:c r="F75" s="41" t="str">
        <x:v>patriotic gifts、USA旗帜元素、veteran/military thank you礼品、钥匙扣</x:v>
      </x:c>
      <x:c r="G75" s="41" t="str">
        <x:v>2026-03-06 ~ 2026-04-05：先看历史销量、库存/FBA承接、是否需要改Listing。</x:v>
      </x:c>
      <x:c r="H75" s="41" t="str">
        <x:v>2026-05-05 ~ 2026-05-20：广告结构、关键词/ASIN、标题主图必须基本到位。</x:v>
      </x:c>
      <x:c r="I75" s="41" t="str">
        <x:v>2026-06-13 ~ 2026-07-07：头部SKU每日看，过后及时降投/清尾。</x:v>
      </x:c>
      <x:c r="J75" s="41" t="str">
        <x:f>IF(AND('今日提醒'!$B$2&gt;=$L75,'今日提醒'!$B$2&lt;=$M75,$L75=$M75),"节点当日",IF(AND('今日提醒'!$B$2&gt;=$L75,'今日提醒'!$B$2&lt;=$M75,'今日提醒'!$B$2&gt;$S75),"收尾下滑",IF(AND('今日提醒'!$B$2&gt;=$L75,'今日提醒'!$B$2&lt;=$M75),"节点进行中",IF(AND('今日提醒'!$B$2&gt;$M75,'今日提醒'!$B$2&lt;=$S75),"节后清尾",IF(AND('今日提醒'!$B$2&gt;=$R75,'今日提醒'!$B$2&lt;=$S75),"高频跟进",IF(AND('今日提醒'!$B$2&gt;=($R75-14),'今日提醒'!$B$2&lt;$R75,'今日提醒'!$B$2&lt;$L75),"临近高频",IF(AND(OR($A75="Chinese New Year",$A75="Super Bowl",$A75="Valentine's Day",$A75="Valentine Week",$A75="St. Patrick's Day",$A75="Easter",$A75="Graduation Season",$A75="Prom Season",$A75="Teacher Appreciation Week",$A75="Mother's Day",$A75="Memorial Day",$A75="Father's Day",$A75="Independence Day",$A75="Back-to-School Season",$A75="Labor Day",$A75="Halloween",$A75="Thanksgiving",$A75="Black Friday / Cyber Monday",$A75="Christmas",$A75="New Year's Eve / New Year Season"),'今日提醒'!$B$2&gt;=($R75-30),'今日提醒'!$B$2&lt;$R75,'今日提醒'!$B$2&lt;$L75),"大节气提前",IF(AND('今日提醒'!$B$2&gt;=$P75,'今日提醒'!$B$2&lt;=$Q75),"二次排查",IF(AND(OR($A75="Chinese New Year",$A75="Super Bowl",$A75="Valentine's Day",$A75="Valentine Week",$A75="St. Patrick's Day",$A75="Easter",$A75="Graduation Season",$A75="Prom Season",$A75="Teacher Appreciation Week",$A75="Mother's Day",$A75="Memorial Day",$A75="Father's Day",$A75="Independence Day",$A75="Back-to-School Season",$A75="Labor Day",$A75="Halloween",$A75="Thanksgiving",$A75="Black Friday / Cyber Monday",$A75="Christmas",$A75="New Year's Eve / New Year Season"),'今日提醒'!$B$2&gt;=($P75-14),'今日提醒'!$B$2&lt;$P75,'今日提醒'!$B$2&lt;$L75),"临近二次",IF(AND('今日提醒'!$B$2&gt;=$N75,'今日提醒'!$B$2&lt;=$O75),"一次排查",IF('今日提醒'!$B$2&lt;$N75,"未到排查",IF('今日提醒'!$B$2&lt;$L75,"等待下一窗口","已过"))))))))))))</x:f>
        <x:v>大节气提前</x:v>
      </x:c>
      <x:c r="K75" s="41" t="str">
        <x:f>IF($J75="收尾下滑","主购买/高频窗口已过，流量可能走弱：不要盲目加预算或新建组；优先看库存压力、ACOS、广告占比、自然单，仅保留高转化词，计算清货/留仓。",IF($J75="节后清尾","节点已过但仍在清尾窗口：控低效词、降无效预算，复盘转化词；库存重则算清货，库存轻则吃完尾流。",IF($J75="节点当日","今天就是节点当日：优先看转化、库存承接、广告花费和尾流风险；可以吃最后一波有效流量，但不要再大范围新建或盲目加预算。",IF($J75="节点进行中","当前在节点/销售窗口内：这是进行中，不是预热；重点看销量、库存承接、广告花费、转化和是否已出现流量下滑。",IF($J75="高频跟进","今天在高频跟进窗口：头部SKU每日看；重点看高库存、高花费、断货风险和ACOS。",IF($J75="临近高频","高频窗口即将开始：今天先预查广告结构、关键词/ASIN、Listing埋词、库存承接和预算，避免临近节点再补。",IF($J75="大节气提前","大节气提前窗口：不要等高频当天再动；今天先锁定主推SKU、库存承接、Listing节日词、广告结构和预算上限，低相关/低库存产品不硬推。",IF($J75="二次排查","今天在二次排查窗口：补广告结构、关键词/ASIN、预算和Listing埋词。",IF($J75="临近二次","大节气二次排查即将开始：提前准备词/ASIN/图片/价格/促销，不等窗口当天才补结构。",IF($J75="一次排查","今天在一次排查窗口：先筛SKU，看历史动销、库存、利润和Listing匹配。",IF($J75="未到排查","暂不处理，等一次排查窗口。",IF($J75="等待下一窗口","暂不在排查窗口；等高频或节点开始，除非有库存/广告异常。","已过：复盘、降投、清尾或沉淀明年节点。"))))))))))))</x:f>
        <x:v>大节气提前窗口：不要等高频当天再动；今天先锁定主推SKU、库存承接、Listing节日词、广告结构和预算上限，低相关/低库存产品不硬推。</x:v>
      </x:c>
      <x:c r="L75" s="42" t="n">
        <x:v>46207</x:v>
      </x:c>
      <x:c r="M75" s="42" t="n">
        <x:v>46207</x:v>
      </x:c>
      <x:c r="N75" s="42" t="n">
        <x:v>46087</x:v>
      </x:c>
      <x:c r="O75" s="42" t="n">
        <x:v>46117</x:v>
      </x:c>
      <x:c r="P75" s="42" t="n">
        <x:v>46147</x:v>
      </x:c>
      <x:c r="Q75" s="42" t="n">
        <x:v>46162</x:v>
      </x:c>
      <x:c r="R75" s="42" t="n">
        <x:v>46186</x:v>
      </x:c>
      <x:c r="S75" s="42" t="n">
        <x:v>46210</x:v>
      </x:c>
      <x:c r="T75" s="43" t="n">
        <x:f>$L75-'今日提醒'!$B$2</x:f>
        <x:v>40</x:v>
      </x:c>
      <x:c r="U75" s="74" t="n">
        <x:f>IF(OR($J75="收尾下滑",$J75="节后清尾",$J75="节点当日",$J75="节点进行中",$J75="高频跟进",$J75="临近高频",$J75="大节气提前",$J75="二次排查",$J75="临近二次",$J75="一次排查"),IF($J75="收尾下滑",1,IF($J75="节后清尾",2,IF($J75="节点当日",3,IF($J75="节点进行中",4,IF($J75="高频跟进",5,IF($J75="临近高频",6,IF($J75="大节气提前",7,IF($J75="二次排查",8,IF($J75="临近二次",9,10)))))))))*100000+ROW(),99999999+ROW())</x:f>
        <x:v>700075</x:v>
      </x:c>
      <x:c r="V75" s="15" t="str">
        <x:f>IF(OR($J75="收尾下滑",$J75="节后清尾"),"风险/止损",IF($J75="节点当日","机会/当日冲刺",IF($J75="节点进行中","机会/进行中",IF($J75="高频跟进","机会/高频",IF($J75="大节气提前","机会/大节气提前",IF(OR($J75="临近高频",$J75="临近二次",$J75="二次排查",$J75="一次排查"),"机会/预热","非今日"))))))</x:f>
        <x:v>机会/大节气提前</x:v>
      </x:c>
      <x:c r="W75" s="15" t="str">
        <x:f>IF($J75="收尾下滑","控投/清尾/算留仓",IF($J75="节后清尾","节后降投/复盘",IF($J75="节点当日","当日冲刺/控尾流",IF($J75="节点进行中","转化监控/看趋势",IF($J75="高频跟进","放量+控ACOS",IF($J75="大节气提前","提前锁结构/预算",IF($J75="临近高频","预查结构/埋词",IF($J75="临近二次","提前补结构/埋词",IF($J75="二次排查","补结构/补词",IF($J75="一次排查","筛SKU/核库存","暂无"))))))))))</x:f>
        <x:v>提前锁结构/预算</x:v>
      </x:c>
      <x:c r="X75" s="15" t="str">
        <x:f>IF(AND('今日提醒'!$B$2&gt;=$L75,'今日提醒'!$B$2&lt;=$M75,$L75=$M75),"节点当日：不是预热",IF(AND('今日提醒'!$B$2&gt;=$L75,'今日提醒'!$B$2&lt;=$M75,'今日提醒'!$B$2&gt;$S75),"高频已结束但销售窗口未结束：疑似尾期/下滑",IF(AND('今日提醒'!$B$2&gt;$M75,'今日提醒'!$B$2&lt;=$S75),"节点已过但仍在清尾窗口",IF($J75="大节气提前","大节气高频前30天：提前进入主推准备",IF($J75="临近二次","大节气二次排查前14天：提前准备","")))))</x:f>
        <x:v>大节气高频前30天：提前进入主推准备</x:v>
      </x:c>
    </x:row>
    <x:row r="76" ht="58" hidden="0" customHeight="1">
      <x:c r="A76" s="41" t="str">
        <x:v>Friendship Day</x:v>
      </x:c>
      <x:c r="B76" s="41" t="str">
        <x:v>友谊日</x:v>
      </x:c>
      <x:c r="C76" s="41" t="str">
        <x:v>表达朋友之间感谢与陪伴的节点，适合best friend gifts、friendship bracelet、pocket hug。</x:v>
      </x:c>
      <x:c r="D76" s="41" t="str">
        <x:v>2026-08-02</x:v>
      </x:c>
      <x:c r="E76" s="41" t="str">
        <x:v>每年变动</x:v>
      </x:c>
      <x:c r="F76" s="41" t="str">
        <x:v>best friend gifts、friendship bracelet、pocket hug、友情卡</x:v>
      </x:c>
      <x:c r="G76" s="41" t="str">
        <x:v>2026-06-03 ~ 2026-06-18：先筛匹配SKU、历史销量、库存和利润空间。</x:v>
      </x:c>
      <x:c r="H76" s="41" t="str">
        <x:v>2026-07-03 ~ 2026-07-12：补关键词/ASIN、Listing埋词和广告预算。</x:v>
      </x:c>
      <x:c r="I76" s="41" t="str">
        <x:v>2026-07-19 ~ 2026-08-04：重点SKU每日看，普通SKU每2-3天看。</x:v>
      </x:c>
      <x:c r="J76" s="41" t="str">
        <x:f>IF(AND('今日提醒'!$B$2&gt;=$L76,'今日提醒'!$B$2&lt;=$M76,$L76=$M76),"节点当日",IF(AND('今日提醒'!$B$2&gt;=$L76,'今日提醒'!$B$2&lt;=$M76,'今日提醒'!$B$2&gt;$S76),"收尾下滑",IF(AND('今日提醒'!$B$2&gt;=$L76,'今日提醒'!$B$2&lt;=$M76),"节点进行中",IF(AND('今日提醒'!$B$2&gt;$M76,'今日提醒'!$B$2&lt;=$S76),"节后清尾",IF(AND('今日提醒'!$B$2&gt;=$R76,'今日提醒'!$B$2&lt;=$S76),"高频跟进",IF(AND('今日提醒'!$B$2&gt;=($R76-14),'今日提醒'!$B$2&lt;$R76,'今日提醒'!$B$2&lt;$L76),"临近高频",IF(AND(OR($A76="Chinese New Year",$A76="Super Bowl",$A76="Valentine's Day",$A76="Valentine Week",$A76="St. Patrick's Day",$A76="Easter",$A76="Graduation Season",$A76="Prom Season",$A76="Teacher Appreciation Week",$A76="Mother's Day",$A76="Memorial Day",$A76="Father's Day",$A76="Independence Day",$A76="Back-to-School Season",$A76="Labor Day",$A76="Halloween",$A76="Thanksgiving",$A76="Black Friday / Cyber Monday",$A76="Christmas",$A76="New Year's Eve / New Year Season"),'今日提醒'!$B$2&gt;=($R76-30),'今日提醒'!$B$2&lt;$R76,'今日提醒'!$B$2&lt;$L76),"大节气提前",IF(AND('今日提醒'!$B$2&gt;=$P76,'今日提醒'!$B$2&lt;=$Q76),"二次排查",IF(AND(OR($A76="Chinese New Year",$A76="Super Bowl",$A76="Valentine's Day",$A76="Valentine Week",$A76="St. Patrick's Day",$A76="Easter",$A76="Graduation Season",$A76="Prom Season",$A76="Teacher Appreciation Week",$A76="Mother's Day",$A76="Memorial Day",$A76="Father's Day",$A76="Independence Day",$A76="Back-to-School Season",$A76="Labor Day",$A76="Halloween",$A76="Thanksgiving",$A76="Black Friday / Cyber Monday",$A76="Christmas",$A76="New Year's Eve / New Year Season"),'今日提醒'!$B$2&gt;=($P76-14),'今日提醒'!$B$2&lt;$P76,'今日提醒'!$B$2&lt;$L76),"临近二次",IF(AND('今日提醒'!$B$2&gt;=$N76,'今日提醒'!$B$2&lt;=$O76),"一次排查",IF('今日提醒'!$B$2&lt;$N76,"未到排查",IF('今日提醒'!$B$2&lt;$L76,"等待下一窗口","已过"))))))))))))</x:f>
        <x:v>未到排查</x:v>
      </x:c>
      <x:c r="K76" s="41" t="str">
        <x:f>IF($J76="收尾下滑","主购买/高频窗口已过，流量可能走弱：不要盲目加预算或新建组；优先看库存压力、ACOS、广告占比、自然单，仅保留高转化词，计算清货/留仓。",IF($J76="节后清尾","节点已过但仍在清尾窗口：控低效词、降无效预算，复盘转化词；库存重则算清货，库存轻则吃完尾流。",IF($J76="节点当日","今天就是节点当日：优先看转化、库存承接、广告花费和尾流风险；可以吃最后一波有效流量，但不要再大范围新建或盲目加预算。",IF($J76="节点进行中","当前在节点/销售窗口内：这是进行中，不是预热；重点看销量、库存承接、广告花费、转化和是否已出现流量下滑。",IF($J76="高频跟进","今天在高频跟进窗口：头部SKU每日看；重点看高库存、高花费、断货风险和ACOS。",IF($J76="临近高频","高频窗口即将开始：今天先预查广告结构、关键词/ASIN、Listing埋词、库存承接和预算，避免临近节点再补。",IF($J76="大节气提前","大节气提前窗口：不要等高频当天再动；今天先锁定主推SKU、库存承接、Listing节日词、广告结构和预算上限，低相关/低库存产品不硬推。",IF($J76="二次排查","今天在二次排查窗口：补广告结构、关键词/ASIN、预算和Listing埋词。",IF($J76="临近二次","大节气二次排查即将开始：提前准备词/ASIN/图片/价格/促销，不等窗口当天才补结构。",IF($J76="一次排查","今天在一次排查窗口：先筛SKU，看历史动销、库存、利润和Listing匹配。",IF($J76="未到排查","暂不处理，等一次排查窗口。",IF($J76="等待下一窗口","暂不在排查窗口；等高频或节点开始，除非有库存/广告异常。","已过：复盘、降投、清尾或沉淀明年节点。"))))))))))))</x:f>
        <x:v>暂不处理，等一次排查窗口。</x:v>
      </x:c>
      <x:c r="L76" s="42" t="n">
        <x:v>46236</x:v>
      </x:c>
      <x:c r="M76" s="42" t="n">
        <x:v>46236</x:v>
      </x:c>
      <x:c r="N76" s="42" t="n">
        <x:v>46176</x:v>
      </x:c>
      <x:c r="O76" s="42" t="n">
        <x:v>46191</x:v>
      </x:c>
      <x:c r="P76" s="42" t="n">
        <x:v>46206</x:v>
      </x:c>
      <x:c r="Q76" s="42" t="n">
        <x:v>46215</x:v>
      </x:c>
      <x:c r="R76" s="42" t="n">
        <x:v>46222</x:v>
      </x:c>
      <x:c r="S76" s="42" t="n">
        <x:v>46238</x:v>
      </x:c>
      <x:c r="T76" s="43" t="n">
        <x:f>$L76-'今日提醒'!$B$2</x:f>
        <x:v>69</x:v>
      </x:c>
      <x:c r="U76" s="74" t="n">
        <x:f>IF(OR($J76="收尾下滑",$J76="节后清尾",$J76="节点当日",$J76="节点进行中",$J76="高频跟进",$J76="临近高频",$J76="大节气提前",$J76="二次排查",$J76="临近二次",$J76="一次排查"),IF($J76="收尾下滑",1,IF($J76="节后清尾",2,IF($J76="节点当日",3,IF($J76="节点进行中",4,IF($J76="高频跟进",5,IF($J76="临近高频",6,IF($J76="大节气提前",7,IF($J76="二次排查",8,IF($J76="临近二次",9,10)))))))))*100000+ROW(),99999999+ROW())</x:f>
        <x:v>100000075</x:v>
      </x:c>
      <x:c r="V76" s="15" t="str">
        <x:f>IF(OR($J76="收尾下滑",$J76="节后清尾"),"风险/止损",IF($J76="节点当日","机会/当日冲刺",IF($J76="节点进行中","机会/进行中",IF($J76="高频跟进","机会/高频",IF($J76="大节气提前","机会/大节气提前",IF(OR($J76="临近高频",$J76="临近二次",$J76="二次排查",$J76="一次排查"),"机会/预热","非今日"))))))</x:f>
        <x:v>非今日</x:v>
      </x:c>
      <x:c r="W76" s="15" t="str">
        <x:f>IF($J76="收尾下滑","控投/清尾/算留仓",IF($J76="节后清尾","节后降投/复盘",IF($J76="节点当日","当日冲刺/控尾流",IF($J76="节点进行中","转化监控/看趋势",IF($J76="高频跟进","放量+控ACOS",IF($J76="大节气提前","提前锁结构/预算",IF($J76="临近高频","预查结构/埋词",IF($J76="临近二次","提前补结构/埋词",IF($J76="二次排查","补结构/补词",IF($J76="一次排查","筛SKU/核库存","暂无"))))))))))</x:f>
        <x:v>暂无</x:v>
      </x:c>
      <x:c r="X76" s="15" t="str">
        <x:f>IF(AND('今日提醒'!$B$2&gt;=$L76,'今日提醒'!$B$2&lt;=$M76,$L76=$M76),"节点当日：不是预热",IF(AND('今日提醒'!$B$2&gt;=$L76,'今日提醒'!$B$2&lt;=$M76,'今日提醒'!$B$2&gt;$S76),"高频已结束但销售窗口未结束：疑似尾期/下滑",IF(AND('今日提醒'!$B$2&gt;$M76,'今日提醒'!$B$2&lt;=$S76),"节点已过但仍在清尾窗口",IF($J76="大节气提前","大节气高频前30天：提前进入主推准备",IF($J76="临近二次","大节气二次排查前14天：提前准备","")))))</x:f>
      </x:c>
    </x:row>
    <x:row r="77" ht="58" hidden="0" customHeight="1">
      <x:c r="A77" s="41" t="str">
        <x:v>Women’s Equality Day</x:v>
      </x:c>
      <x:c r="B77" s="41" t="str">
        <x:v>女性平权日</x:v>
      </x:c>
      <x:c r="C77" s="41" t="str">
        <x:v>纪念美国女性获得宪法投票权，适合女性赋能、平权、affirmation类主题。</x:v>
      </x:c>
      <x:c r="D77" s="41" t="str">
        <x:v>2026-08-26</x:v>
      </x:c>
      <x:c r="E77" s="41" t="str">
        <x:v>固定日期</x:v>
      </x:c>
      <x:c r="F77" s="41" t="str">
        <x:v>意识/支持类产品：丝带、手链、鼓励卡、贴纸；敏感节点商业化要克制</x:v>
      </x:c>
      <x:c r="G77" s="41" t="str">
        <x:v>2026-05-28 ~ 2026-06-12：先确认产品真实匹配，避免硬蹭敏感议题。</x:v>
      </x:c>
      <x:c r="H77" s="41" t="str">
        <x:v>2026-07-12 ~ 2026-07-22：检查图片/文案/关键词是否克制且合规。</x:v>
      </x:c>
      <x:c r="I77" s="41" t="str">
        <x:v>2026-08-12 ~ 2026-08-26：每2-3天看；表现差或表达风险高就停。</x:v>
      </x:c>
      <x:c r="J77" s="41" t="str">
        <x:f>IF(AND('今日提醒'!$B$2&gt;=$L77,'今日提醒'!$B$2&lt;=$M77,$L77=$M77),"节点当日",IF(AND('今日提醒'!$B$2&gt;=$L77,'今日提醒'!$B$2&lt;=$M77,'今日提醒'!$B$2&gt;$S77),"收尾下滑",IF(AND('今日提醒'!$B$2&gt;=$L77,'今日提醒'!$B$2&lt;=$M77),"节点进行中",IF(AND('今日提醒'!$B$2&gt;$M77,'今日提醒'!$B$2&lt;=$S77),"节后清尾",IF(AND('今日提醒'!$B$2&gt;=$R77,'今日提醒'!$B$2&lt;=$S77),"高频跟进",IF(AND('今日提醒'!$B$2&gt;=($R77-14),'今日提醒'!$B$2&lt;$R77,'今日提醒'!$B$2&lt;$L77),"临近高频",IF(AND(OR($A77="Chinese New Year",$A77="Super Bowl",$A77="Valentine's Day",$A77="Valentine Week",$A77="St. Patrick's Day",$A77="Easter",$A77="Graduation Season",$A77="Prom Season",$A77="Teacher Appreciation Week",$A77="Mother's Day",$A77="Memorial Day",$A77="Father's Day",$A77="Independence Day",$A77="Back-to-School Season",$A77="Labor Day",$A77="Halloween",$A77="Thanksgiving",$A77="Black Friday / Cyber Monday",$A77="Christmas",$A77="New Year's Eve / New Year Season"),'今日提醒'!$B$2&gt;=($R77-30),'今日提醒'!$B$2&lt;$R77,'今日提醒'!$B$2&lt;$L77),"大节气提前",IF(AND('今日提醒'!$B$2&gt;=$P77,'今日提醒'!$B$2&lt;=$Q77),"二次排查",IF(AND(OR($A77="Chinese New Year",$A77="Super Bowl",$A77="Valentine's Day",$A77="Valentine Week",$A77="St. Patrick's Day",$A77="Easter",$A77="Graduation Season",$A77="Prom Season",$A77="Teacher Appreciation Week",$A77="Mother's Day",$A77="Memorial Day",$A77="Father's Day",$A77="Independence Day",$A77="Back-to-School Season",$A77="Labor Day",$A77="Halloween",$A77="Thanksgiving",$A77="Black Friday / Cyber Monday",$A77="Christmas",$A77="New Year's Eve / New Year Season"),'今日提醒'!$B$2&gt;=($P77-14),'今日提醒'!$B$2&lt;$P77,'今日提醒'!$B$2&lt;$L77),"临近二次",IF(AND('今日提醒'!$B$2&gt;=$N77,'今日提醒'!$B$2&lt;=$O77),"一次排查",IF('今日提醒'!$B$2&lt;$N77,"未到排查",IF('今日提醒'!$B$2&lt;$L77,"等待下一窗口","已过"))))))))))))</x:f>
        <x:v>未到排查</x:v>
      </x:c>
      <x:c r="K77" s="41" t="str">
        <x:f>IF($J77="收尾下滑","主购买/高频窗口已过，流量可能走弱：不要盲目加预算或新建组；优先看库存压力、ACOS、广告占比、自然单，仅保留高转化词，计算清货/留仓。",IF($J77="节后清尾","节点已过但仍在清尾窗口：控低效词、降无效预算，复盘转化词；库存重则算清货，库存轻则吃完尾流。",IF($J77="节点当日","今天就是节点当日：优先看转化、库存承接、广告花费和尾流风险；可以吃最后一波有效流量，但不要再大范围新建或盲目加预算。",IF($J77="节点进行中","当前在节点/销售窗口内：这是进行中，不是预热；重点看销量、库存承接、广告花费、转化和是否已出现流量下滑。",IF($J77="高频跟进","今天在高频跟进窗口：头部SKU每日看；重点看高库存、高花费、断货风险和ACOS。",IF($J77="临近高频","高频窗口即将开始：今天先预查广告结构、关键词/ASIN、Listing埋词、库存承接和预算，避免临近节点再补。",IF($J77="大节气提前","大节气提前窗口：不要等高频当天再动；今天先锁定主推SKU、库存承接、Listing节日词、广告结构和预算上限，低相关/低库存产品不硬推。",IF($J77="二次排查","今天在二次排查窗口：补广告结构、关键词/ASIN、预算和Listing埋词。",IF($J77="临近二次","大节气二次排查即将开始：提前准备词/ASIN/图片/价格/促销，不等窗口当天才补结构。",IF($J77="一次排查","今天在一次排查窗口：先筛SKU，看历史动销、库存、利润和Listing匹配。",IF($J77="未到排查","暂不处理，等一次排查窗口。",IF($J77="等待下一窗口","暂不在排查窗口；等高频或节点开始，除非有库存/广告异常。","已过：复盘、降投、清尾或沉淀明年节点。"))))))))))))</x:f>
        <x:v>暂不处理，等一次排查窗口。</x:v>
      </x:c>
      <x:c r="L77" s="42" t="n">
        <x:v>46260</x:v>
      </x:c>
      <x:c r="M77" s="42" t="n">
        <x:v>46260</x:v>
      </x:c>
      <x:c r="N77" s="42" t="n">
        <x:v>46170</x:v>
      </x:c>
      <x:c r="O77" s="42" t="n">
        <x:v>46185</x:v>
      </x:c>
      <x:c r="P77" s="42" t="n">
        <x:v>46215</x:v>
      </x:c>
      <x:c r="Q77" s="42" t="n">
        <x:v>46225</x:v>
      </x:c>
      <x:c r="R77" s="42" t="n">
        <x:v>46246</x:v>
      </x:c>
      <x:c r="S77" s="42" t="n">
        <x:v>46260</x:v>
      </x:c>
      <x:c r="T77" s="43" t="n">
        <x:f>$L77-'今日提醒'!$B$2</x:f>
        <x:v>93</x:v>
      </x:c>
      <x:c r="U77" s="74" t="n">
        <x:f>IF(OR($J77="收尾下滑",$J77="节后清尾",$J77="节点当日",$J77="节点进行中",$J77="高频跟进",$J77="临近高频",$J77="大节气提前",$J77="二次排查",$J77="临近二次",$J77="一次排查"),IF($J77="收尾下滑",1,IF($J77="节后清尾",2,IF($J77="节点当日",3,IF($J77="节点进行中",4,IF($J77="高频跟进",5,IF($J77="临近高频",6,IF($J77="大节气提前",7,IF($J77="二次排查",8,IF($J77="临近二次",9,10)))))))))*100000+ROW(),99999999+ROW())</x:f>
        <x:v>100000076</x:v>
      </x:c>
      <x:c r="V77" s="15" t="str">
        <x:f>IF(OR($J77="收尾下滑",$J77="节后清尾"),"风险/止损",IF($J77="节点当日","机会/当日冲刺",IF($J77="节点进行中","机会/进行中",IF($J77="高频跟进","机会/高频",IF($J77="大节气提前","机会/大节气提前",IF(OR($J77="临近高频",$J77="临近二次",$J77="二次排查",$J77="一次排查"),"机会/预热","非今日"))))))</x:f>
        <x:v>非今日</x:v>
      </x:c>
      <x:c r="W77" s="15" t="str">
        <x:f>IF($J77="收尾下滑","控投/清尾/算留仓",IF($J77="节后清尾","节后降投/复盘",IF($J77="节点当日","当日冲刺/控尾流",IF($J77="节点进行中","转化监控/看趋势",IF($J77="高频跟进","放量+控ACOS",IF($J77="大节气提前","提前锁结构/预算",IF($J77="临近高频","预查结构/埋词",IF($J77="临近二次","提前补结构/埋词",IF($J77="二次排查","补结构/补词",IF($J77="一次排查","筛SKU/核库存","暂无"))))))))))</x:f>
        <x:v>暂无</x:v>
      </x:c>
      <x:c r="X77" s="15" t="str">
        <x:f>IF(AND('今日提醒'!$B$2&gt;=$L77,'今日提醒'!$B$2&lt;=$M77,$L77=$M77),"节点当日：不是预热",IF(AND('今日提醒'!$B$2&gt;=$L77,'今日提醒'!$B$2&lt;=$M77,'今日提醒'!$B$2&gt;$S77),"高频已结束但销售窗口未结束：疑似尾期/下滑",IF(AND('今日提醒'!$B$2&gt;$M77,'今日提醒'!$B$2&lt;=$S77),"节点已过但仍在清尾窗口",IF($J77="大节气提前","大节气高频前30天：提前进入主推准备",IF($J77="临近二次","大节气二次排查前14天：提前准备","")))))</x:f>
      </x:c>
    </x:row>
    <x:row r="78" ht="58" hidden="0" customHeight="1">
      <x:c r="A78" s="41" t="str">
        <x:v>Back-to-School Season</x:v>
      </x:c>
      <x:c r="B78" s="41" t="str">
        <x:v>返校季/开学季</x:v>
      </x:c>
      <x:c r="C78" s="41" t="str">
        <x:v>美国学校用品、教师用品、宿舍用品和收纳产品大窗口。</x:v>
      </x:c>
      <x:c r="D78" s="41" t="str">
        <x:v>2026-07-20 ~ 2026-09-10</x:v>
      </x:c>
      <x:c r="E78" s="41" t="str">
        <x:v>区间变动：按地区开学时间取常用销售窗口</x:v>
      </x:c>
      <x:c r="F78" s="41" t="str">
        <x:v>文具、书签、收纳、宿舍装饰、老师/学生礼、课堂用品</x:v>
      </x:c>
      <x:c r="G78" s="41" t="str">
        <x:v>2026-04-21 ~ 2026-05-05：看历史动销起点、库存承接、Listing是否匹配。</x:v>
      </x:c>
      <x:c r="H78" s="41" t="str">
        <x:v>2026-06-05 ~ 2026-06-19：完成关键词/ASIN/主图标题检查，低预算轻测。</x:v>
      </x:c>
      <x:c r="I78" s="41" t="str">
        <x:v>2026-07-06 ~ 2026-08-15：头部SKU每日看，普通SKU每周2次。</x:v>
      </x:c>
      <x:c r="J78" s="41" t="str">
        <x:f>IF(AND('今日提醒'!$B$2&gt;=$L78,'今日提醒'!$B$2&lt;=$M78,$L78=$M78),"节点当日",IF(AND('今日提醒'!$B$2&gt;=$L78,'今日提醒'!$B$2&lt;=$M78,'今日提醒'!$B$2&gt;$S78),"收尾下滑",IF(AND('今日提醒'!$B$2&gt;=$L78,'今日提醒'!$B$2&lt;=$M78),"节点进行中",IF(AND('今日提醒'!$B$2&gt;$M78,'今日提醒'!$B$2&lt;=$S78),"节后清尾",IF(AND('今日提醒'!$B$2&gt;=$R78,'今日提醒'!$B$2&lt;=$S78),"高频跟进",IF(AND('今日提醒'!$B$2&gt;=($R78-14),'今日提醒'!$B$2&lt;$R78,'今日提醒'!$B$2&lt;$L78),"临近高频",IF(AND(OR($A78="Chinese New Year",$A78="Super Bowl",$A78="Valentine's Day",$A78="Valentine Week",$A78="St. Patrick's Day",$A78="Easter",$A78="Graduation Season",$A78="Prom Season",$A78="Teacher Appreciation Week",$A78="Mother's Day",$A78="Memorial Day",$A78="Father's Day",$A78="Independence Day",$A78="Back-to-School Season",$A78="Labor Day",$A78="Halloween",$A78="Thanksgiving",$A78="Black Friday / Cyber Monday",$A78="Christmas",$A78="New Year's Eve / New Year Season"),'今日提醒'!$B$2&gt;=($R78-30),'今日提醒'!$B$2&lt;$R78,'今日提醒'!$B$2&lt;$L78),"大节气提前",IF(AND('今日提醒'!$B$2&gt;=$P78,'今日提醒'!$B$2&lt;=$Q78),"二次排查",IF(AND(OR($A78="Chinese New Year",$A78="Super Bowl",$A78="Valentine's Day",$A78="Valentine Week",$A78="St. Patrick's Day",$A78="Easter",$A78="Graduation Season",$A78="Prom Season",$A78="Teacher Appreciation Week",$A78="Mother's Day",$A78="Memorial Day",$A78="Father's Day",$A78="Independence Day",$A78="Back-to-School Season",$A78="Labor Day",$A78="Halloween",$A78="Thanksgiving",$A78="Black Friday / Cyber Monday",$A78="Christmas",$A78="New Year's Eve / New Year Season"),'今日提醒'!$B$2&gt;=($P78-14),'今日提醒'!$B$2&lt;$P78,'今日提醒'!$B$2&lt;$L78),"临近二次",IF(AND('今日提醒'!$B$2&gt;=$N78,'今日提醒'!$B$2&lt;=$O78),"一次排查",IF('今日提醒'!$B$2&lt;$N78,"未到排查",IF('今日提醒'!$B$2&lt;$L78,"等待下一窗口","已过"))))))))))))</x:f>
        <x:v>临近二次</x:v>
      </x:c>
      <x:c r="K78" s="41" t="str">
        <x:f>IF($J78="收尾下滑","主购买/高频窗口已过，流量可能走弱：不要盲目加预算或新建组；优先看库存压力、ACOS、广告占比、自然单，仅保留高转化词，计算清货/留仓。",IF($J78="节后清尾","节点已过但仍在清尾窗口：控低效词、降无效预算，复盘转化词；库存重则算清货，库存轻则吃完尾流。",IF($J78="节点当日","今天就是节点当日：优先看转化、库存承接、广告花费和尾流风险；可以吃最后一波有效流量，但不要再大范围新建或盲目加预算。",IF($J78="节点进行中","当前在节点/销售窗口内：这是进行中，不是预热；重点看销量、库存承接、广告花费、转化和是否已出现流量下滑。",IF($J78="高频跟进","今天在高频跟进窗口：头部SKU每日看；重点看高库存、高花费、断货风险和ACOS。",IF($J78="临近高频","高频窗口即将开始：今天先预查广告结构、关键词/ASIN、Listing埋词、库存承接和预算，避免临近节点再补。",IF($J78="大节气提前","大节气提前窗口：不要等高频当天再动；今天先锁定主推SKU、库存承接、Listing节日词、广告结构和预算上限，低相关/低库存产品不硬推。",IF($J78="二次排查","今天在二次排查窗口：补广告结构、关键词/ASIN、预算和Listing埋词。",IF($J78="临近二次","大节气二次排查即将开始：提前准备词/ASIN/图片/价格/促销，不等窗口当天才补结构。",IF($J78="一次排查","今天在一次排查窗口：先筛SKU，看历史动销、库存、利润和Listing匹配。",IF($J78="未到排查","暂不处理，等一次排查窗口。",IF($J78="等待下一窗口","暂不在排查窗口；等高频或节点开始，除非有库存/广告异常。","已过：复盘、降投、清尾或沉淀明年节点。"))))))))))))</x:f>
        <x:v>大节气二次排查即将开始：提前准备词/ASIN/图片/价格/促销，不等窗口当天才补结构。</x:v>
      </x:c>
      <x:c r="L78" s="42" t="n">
        <x:v>46223</x:v>
      </x:c>
      <x:c r="M78" s="42" t="n">
        <x:v>46275</x:v>
      </x:c>
      <x:c r="N78" s="42" t="n">
        <x:v>46133</x:v>
      </x:c>
      <x:c r="O78" s="42" t="n">
        <x:v>46147</x:v>
      </x:c>
      <x:c r="P78" s="42" t="n">
        <x:v>46178</x:v>
      </x:c>
      <x:c r="Q78" s="42" t="n">
        <x:v>46192</x:v>
      </x:c>
      <x:c r="R78" s="42" t="n">
        <x:v>46209</x:v>
      </x:c>
      <x:c r="S78" s="42" t="n">
        <x:v>46249</x:v>
      </x:c>
      <x:c r="T78" s="43" t="n">
        <x:f>$L78-'今日提醒'!$B$2</x:f>
        <x:v>56</x:v>
      </x:c>
      <x:c r="U78" s="74" t="n">
        <x:f>IF(OR($J78="收尾下滑",$J78="节后清尾",$J78="节点当日",$J78="节点进行中",$J78="高频跟进",$J78="临近高频",$J78="大节气提前",$J78="二次排查",$J78="临近二次",$J78="一次排查"),IF($J78="收尾下滑",1,IF($J78="节后清尾",2,IF($J78="节点当日",3,IF($J78="节点进行中",4,IF($J78="高频跟进",5,IF($J78="临近高频",6,IF($J78="大节气提前",7,IF($J78="二次排查",8,IF($J78="临近二次",9,10)))))))))*100000+ROW(),99999999+ROW())</x:f>
        <x:v>900078</x:v>
      </x:c>
      <x:c r="V78" s="15" t="str">
        <x:f>IF(OR($J78="收尾下滑",$J78="节后清尾"),"风险/止损",IF($J78="节点当日","机会/当日冲刺",IF($J78="节点进行中","机会/进行中",IF($J78="高频跟进","机会/高频",IF($J78="大节气提前","机会/大节气提前",IF(OR($J78="临近高频",$J78="临近二次",$J78="二次排查",$J78="一次排查"),"机会/预热","非今日"))))))</x:f>
        <x:v>机会/预热</x:v>
      </x:c>
      <x:c r="W78" s="15" t="str">
        <x:f>IF($J78="收尾下滑","控投/清尾/算留仓",IF($J78="节后清尾","节后降投/复盘",IF($J78="节点当日","当日冲刺/控尾流",IF($J78="节点进行中","转化监控/看趋势",IF($J78="高频跟进","放量+控ACOS",IF($J78="大节气提前","提前锁结构/预算",IF($J78="临近高频","预查结构/埋词",IF($J78="临近二次","提前补结构/埋词",IF($J78="二次排查","补结构/补词",IF($J78="一次排查","筛SKU/核库存","暂无"))))))))))</x:f>
        <x:v>提前补结构/埋词</x:v>
      </x:c>
      <x:c r="X78" s="15" t="str">
        <x:f>IF(AND('今日提醒'!$B$2&gt;=$L78,'今日提醒'!$B$2&lt;=$M78,$L78=$M78),"节点当日：不是预热",IF(AND('今日提醒'!$B$2&gt;=$L78,'今日提醒'!$B$2&lt;=$M78,'今日提醒'!$B$2&gt;$S78),"高频已结束但销售窗口未结束：疑似尾期/下滑",IF(AND('今日提醒'!$B$2&gt;$M78,'今日提醒'!$B$2&lt;=$S78),"节点已过但仍在清尾窗口",IF($J78="大节气提前","大节气高频前30天：提前进入主推准备",IF($J78="临近二次","大节气二次排查前14天：提前准备","")))))</x:f>
        <x:v>大节气二次排查前14天：提前准备</x:v>
      </x:c>
    </x:row>
    <x:row r="79" ht="58" hidden="0" customHeight="1">
      <x:c r="A79" s="41" t="str">
        <x:v>Football Season</x:v>
      </x:c>
      <x:c r="B79" s="41" t="str">
        <x:v>橄榄球赛季</x:v>
      </x:c>
      <x:c r="C79" s="41" t="str">
        <x:v>球队、tailgate、party、杯具和家居装饰需求窗口。</x:v>
      </x:c>
      <x:c r="D79" s="41" t="str">
        <x:v>2026-08-20 ~ 2027-02-15</x:v>
      </x:c>
      <x:c r="E79" s="41" t="str">
        <x:v>区间变动：跨年赛事季窗口</x:v>
      </x:c>
      <x:c r="F79" s="41" t="str">
        <x:v>派对装饰、杯具、观赛小物、球队色系配件、sports gifts</x:v>
      </x:c>
      <x:c r="G79" s="41" t="str">
        <x:v>2026-05-22 ~ 2026-06-05：看历史动销起点、库存承接、Listing是否匹配。</x:v>
      </x:c>
      <x:c r="H79" s="41" t="str">
        <x:v>2026-07-06 ~ 2026-07-20：完成关键词/ASIN/主图标题检查，低预算轻测。</x:v>
      </x:c>
      <x:c r="I79" s="41" t="str">
        <x:v>2026-08-06 ~ 2026-11-17：头部SKU每日看，普通SKU每周2次。</x:v>
      </x:c>
      <x:c r="J79" s="41" t="str">
        <x:f>IF(AND('今日提醒'!$B$2&gt;=$L79,'今日提醒'!$B$2&lt;=$M79,$L79=$M79),"节点当日",IF(AND('今日提醒'!$B$2&gt;=$L79,'今日提醒'!$B$2&lt;=$M79,'今日提醒'!$B$2&gt;$S79),"收尾下滑",IF(AND('今日提醒'!$B$2&gt;=$L79,'今日提醒'!$B$2&lt;=$M79),"节点进行中",IF(AND('今日提醒'!$B$2&gt;$M79,'今日提醒'!$B$2&lt;=$S79),"节后清尾",IF(AND('今日提醒'!$B$2&gt;=$R79,'今日提醒'!$B$2&lt;=$S79),"高频跟进",IF(AND('今日提醒'!$B$2&gt;=($R79-14),'今日提醒'!$B$2&lt;$R79,'今日提醒'!$B$2&lt;$L79),"临近高频",IF(AND(OR($A79="Chinese New Year",$A79="Super Bowl",$A79="Valentine's Day",$A79="Valentine Week",$A79="St. Patrick's Day",$A79="Easter",$A79="Graduation Season",$A79="Prom Season",$A79="Teacher Appreciation Week",$A79="Mother's Day",$A79="Memorial Day",$A79="Father's Day",$A79="Independence Day",$A79="Back-to-School Season",$A79="Labor Day",$A79="Halloween",$A79="Thanksgiving",$A79="Black Friday / Cyber Monday",$A79="Christmas",$A79="New Year's Eve / New Year Season"),'今日提醒'!$B$2&gt;=($R79-30),'今日提醒'!$B$2&lt;$R79,'今日提醒'!$B$2&lt;$L79),"大节气提前",IF(AND('今日提醒'!$B$2&gt;=$P79,'今日提醒'!$B$2&lt;=$Q79),"二次排查",IF(AND(OR($A79="Chinese New Year",$A79="Super Bowl",$A79="Valentine's Day",$A79="Valentine Week",$A79="St. Patrick's Day",$A79="Easter",$A79="Graduation Season",$A79="Prom Season",$A79="Teacher Appreciation Week",$A79="Mother's Day",$A79="Memorial Day",$A79="Father's Day",$A79="Independence Day",$A79="Back-to-School Season",$A79="Labor Day",$A79="Halloween",$A79="Thanksgiving",$A79="Black Friday / Cyber Monday",$A79="Christmas",$A79="New Year's Eve / New Year Season"),'今日提醒'!$B$2&gt;=($P79-14),'今日提醒'!$B$2&lt;$P79,'今日提醒'!$B$2&lt;$L79),"临近二次",IF(AND('今日提醒'!$B$2&gt;=$N79,'今日提醒'!$B$2&lt;=$O79),"一次排查",IF('今日提醒'!$B$2&lt;$N79,"未到排查",IF('今日提醒'!$B$2&lt;$L79,"等待下一窗口","已过"))))))))))))</x:f>
        <x:v>一次排查</x:v>
      </x:c>
      <x:c r="K79" s="41" t="str">
        <x:f>IF($J79="收尾下滑","主购买/高频窗口已过，流量可能走弱：不要盲目加预算或新建组；优先看库存压力、ACOS、广告占比、自然单，仅保留高转化词，计算清货/留仓。",IF($J79="节后清尾","节点已过但仍在清尾窗口：控低效词、降无效预算，复盘转化词；库存重则算清货，库存轻则吃完尾流。",IF($J79="节点当日","今天就是节点当日：优先看转化、库存承接、广告花费和尾流风险；可以吃最后一波有效流量，但不要再大范围新建或盲目加预算。",IF($J79="节点进行中","当前在节点/销售窗口内：这是进行中，不是预热；重点看销量、库存承接、广告花费、转化和是否已出现流量下滑。",IF($J79="高频跟进","今天在高频跟进窗口：头部SKU每日看；重点看高库存、高花费、断货风险和ACOS。",IF($J79="临近高频","高频窗口即将开始：今天先预查广告结构、关键词/ASIN、Listing埋词、库存承接和预算，避免临近节点再补。",IF($J79="大节气提前","大节气提前窗口：不要等高频当天再动；今天先锁定主推SKU、库存承接、Listing节日词、广告结构和预算上限，低相关/低库存产品不硬推。",IF($J79="二次排查","今天在二次排查窗口：补广告结构、关键词/ASIN、预算和Listing埋词。",IF($J79="临近二次","大节气二次排查即将开始：提前准备词/ASIN/图片/价格/促销，不等窗口当天才补结构。",IF($J79="一次排查","今天在一次排查窗口：先筛SKU，看历史动销、库存、利润和Listing匹配。",IF($J79="未到排查","暂不处理，等一次排查窗口。",IF($J79="等待下一窗口","暂不在排查窗口；等高频或节点开始，除非有库存/广告异常。","已过：复盘、降投、清尾或沉淀明年节点。"))))))))))))</x:f>
        <x:v>今天在一次排查窗口：先筛SKU，看历史动销、库存、利润和Listing匹配。</x:v>
      </x:c>
      <x:c r="L79" s="42" t="n">
        <x:v>46254</x:v>
      </x:c>
      <x:c r="M79" s="42" t="n">
        <x:v>46433</x:v>
      </x:c>
      <x:c r="N79" s="42" t="n">
        <x:v>46164</x:v>
      </x:c>
      <x:c r="O79" s="42" t="n">
        <x:v>46178</x:v>
      </x:c>
      <x:c r="P79" s="42" t="n">
        <x:v>46209</x:v>
      </x:c>
      <x:c r="Q79" s="42" t="n">
        <x:v>46223</x:v>
      </x:c>
      <x:c r="R79" s="42" t="n">
        <x:v>46240</x:v>
      </x:c>
      <x:c r="S79" s="42" t="n">
        <x:v>46343</x:v>
      </x:c>
      <x:c r="T79" s="43" t="n">
        <x:f>$L79-'今日提醒'!$B$2</x:f>
        <x:v>87</x:v>
      </x:c>
      <x:c r="U79" s="74" t="n">
        <x:f>IF(OR($J79="收尾下滑",$J79="节后清尾",$J79="节点当日",$J79="节点进行中",$J79="高频跟进",$J79="临近高频",$J79="大节气提前",$J79="二次排查",$J79="临近二次",$J79="一次排查"),IF($J79="收尾下滑",1,IF($J79="节后清尾",2,IF($J79="节点当日",3,IF($J79="节点进行中",4,IF($J79="高频跟进",5,IF($J79="临近高频",6,IF($J79="大节气提前",7,IF($J79="二次排查",8,IF($J79="临近二次",9,10)))))))))*100000+ROW(),99999999+ROW())</x:f>
        <x:v>1000079</x:v>
      </x:c>
      <x:c r="V79" s="15" t="str">
        <x:f>IF(OR($J79="收尾下滑",$J79="节后清尾"),"风险/止损",IF($J79="节点当日","机会/当日冲刺",IF($J79="节点进行中","机会/进行中",IF($J79="高频跟进","机会/高频",IF($J79="大节气提前","机会/大节气提前",IF(OR($J79="临近高频",$J79="临近二次",$J79="二次排查",$J79="一次排查"),"机会/预热","非今日"))))))</x:f>
        <x:v>机会/预热</x:v>
      </x:c>
      <x:c r="W79" s="15" t="str">
        <x:f>IF($J79="收尾下滑","控投/清尾/算留仓",IF($J79="节后清尾","节后降投/复盘",IF($J79="节点当日","当日冲刺/控尾流",IF($J79="节点进行中","转化监控/看趋势",IF($J79="高频跟进","放量+控ACOS",IF($J79="大节气提前","提前锁结构/预算",IF($J79="临近高频","预查结构/埋词",IF($J79="临近二次","提前补结构/埋词",IF($J79="二次排查","补结构/补词",IF($J79="一次排查","筛SKU/核库存","暂无"))))))))))</x:f>
        <x:v>筛SKU/核库存</x:v>
      </x:c>
      <x:c r="X79" s="15" t="str">
        <x:f>IF(AND('今日提醒'!$B$2&gt;=$L79,'今日提醒'!$B$2&lt;=$M79,$L79=$M79),"节点当日：不是预热",IF(AND('今日提醒'!$B$2&gt;=$L79,'今日提醒'!$B$2&lt;=$M79,'今日提醒'!$B$2&gt;$S79),"高频已结束但销售窗口未结束：疑似尾期/下滑",IF(AND('今日提醒'!$B$2&gt;$M79,'今日提醒'!$B$2&lt;=$S79),"节点已过但仍在清尾窗口",IF($J79="大节气提前","大节气高频前30天：提前进入主推准备",IF($J79="临近二次","大节气二次排查前14天：提前准备","")))))</x:f>
      </x:c>
    </x:row>
    <x:row r="80" ht="58" hidden="0" customHeight="1">
      <x:c r="A80" s="41" t="str">
        <x:v>Labor Day</x:v>
      </x:c>
      <x:c r="B80" s="41" t="str">
        <x:v>美国劳动节</x:v>
      </x:c>
      <x:c r="C80" s="41" t="str">
        <x:v>美国夏季末尾大促节点，适合户外、家居、清仓和季节换档。</x:v>
      </x:c>
      <x:c r="D80" s="41" t="str">
        <x:v>2026-09-07</x:v>
      </x:c>
      <x:c r="E80" s="41" t="str">
        <x:v>每年变动</x:v>
      </x:c>
      <x:c r="F80" s="41" t="str">
        <x:v>全品类促销节点：重点看库存、价格、广告预算、清货/放量款</x:v>
      </x:c>
      <x:c r="G80" s="41" t="str">
        <x:v>2026-07-09 ~ 2026-07-24：盘库存、价格、毛利、滞销/可放量SKU。</x:v>
      </x:c>
      <x:c r="H80" s="41" t="str">
        <x:v>2026-08-17 ~ 2026-08-24：定折扣、预算上限、主推/清货名单。</x:v>
      </x:c>
      <x:c r="I80" s="41" t="str">
        <x:v>2026-08-31 ~ 2026-09-09：每日看利润、广告占比、断货和清货效果。</x:v>
      </x:c>
      <x:c r="J80" s="41" t="str">
        <x:f>IF(AND('今日提醒'!$B$2&gt;=$L80,'今日提醒'!$B$2&lt;=$M80,$L80=$M80),"节点当日",IF(AND('今日提醒'!$B$2&gt;=$L80,'今日提醒'!$B$2&lt;=$M80,'今日提醒'!$B$2&gt;$S80),"收尾下滑",IF(AND('今日提醒'!$B$2&gt;=$L80,'今日提醒'!$B$2&lt;=$M80),"节点进行中",IF(AND('今日提醒'!$B$2&gt;$M80,'今日提醒'!$B$2&lt;=$S80),"节后清尾",IF(AND('今日提醒'!$B$2&gt;=$R80,'今日提醒'!$B$2&lt;=$S80),"高频跟进",IF(AND('今日提醒'!$B$2&gt;=($R80-14),'今日提醒'!$B$2&lt;$R80,'今日提醒'!$B$2&lt;$L80),"临近高频",IF(AND(OR($A80="Chinese New Year",$A80="Super Bowl",$A80="Valentine's Day",$A80="Valentine Week",$A80="St. Patrick's Day",$A80="Easter",$A80="Graduation Season",$A80="Prom Season",$A80="Teacher Appreciation Week",$A80="Mother's Day",$A80="Memorial Day",$A80="Father's Day",$A80="Independence Day",$A80="Back-to-School Season",$A80="Labor Day",$A80="Halloween",$A80="Thanksgiving",$A80="Black Friday / Cyber Monday",$A80="Christmas",$A80="New Year's Eve / New Year Season"),'今日提醒'!$B$2&gt;=($R80-30),'今日提醒'!$B$2&lt;$R80,'今日提醒'!$B$2&lt;$L80),"大节气提前",IF(AND('今日提醒'!$B$2&gt;=$P80,'今日提醒'!$B$2&lt;=$Q80),"二次排查",IF(AND(OR($A80="Chinese New Year",$A80="Super Bowl",$A80="Valentine's Day",$A80="Valentine Week",$A80="St. Patrick's Day",$A80="Easter",$A80="Graduation Season",$A80="Prom Season",$A80="Teacher Appreciation Week",$A80="Mother's Day",$A80="Memorial Day",$A80="Father's Day",$A80="Independence Day",$A80="Back-to-School Season",$A80="Labor Day",$A80="Halloween",$A80="Thanksgiving",$A80="Black Friday / Cyber Monday",$A80="Christmas",$A80="New Year's Eve / New Year Season"),'今日提醒'!$B$2&gt;=($P80-14),'今日提醒'!$B$2&lt;$P80,'今日提醒'!$B$2&lt;$L80),"临近二次",IF(AND('今日提醒'!$B$2&gt;=$N80,'今日提醒'!$B$2&lt;=$O80),"一次排查",IF('今日提醒'!$B$2&lt;$N80,"未到排查",IF('今日提醒'!$B$2&lt;$L80,"等待下一窗口","已过"))))))))))))</x:f>
        <x:v>未到排查</x:v>
      </x:c>
      <x:c r="K80" s="41" t="str">
        <x:f>IF($J80="收尾下滑","主购买/高频窗口已过，流量可能走弱：不要盲目加预算或新建组；优先看库存压力、ACOS、广告占比、自然单，仅保留高转化词，计算清货/留仓。",IF($J80="节后清尾","节点已过但仍在清尾窗口：控低效词、降无效预算，复盘转化词；库存重则算清货，库存轻则吃完尾流。",IF($J80="节点当日","今天就是节点当日：优先看转化、库存承接、广告花费和尾流风险；可以吃最后一波有效流量，但不要再大范围新建或盲目加预算。",IF($J80="节点进行中","当前在节点/销售窗口内：这是进行中，不是预热；重点看销量、库存承接、广告花费、转化和是否已出现流量下滑。",IF($J80="高频跟进","今天在高频跟进窗口：头部SKU每日看；重点看高库存、高花费、断货风险和ACOS。",IF($J80="临近高频","高频窗口即将开始：今天先预查广告结构、关键词/ASIN、Listing埋词、库存承接和预算，避免临近节点再补。",IF($J80="大节气提前","大节气提前窗口：不要等高频当天再动；今天先锁定主推SKU、库存承接、Listing节日词、广告结构和预算上限，低相关/低库存产品不硬推。",IF($J80="二次排查","今天在二次排查窗口：补广告结构、关键词/ASIN、预算和Listing埋词。",IF($J80="临近二次","大节气二次排查即将开始：提前准备词/ASIN/图片/价格/促销，不等窗口当天才补结构。",IF($J80="一次排查","今天在一次排查窗口：先筛SKU，看历史动销、库存、利润和Listing匹配。",IF($J80="未到排查","暂不处理，等一次排查窗口。",IF($J80="等待下一窗口","暂不在排查窗口；等高频或节点开始，除非有库存/广告异常。","已过：复盘、降投、清尾或沉淀明年节点。"))))))))))))</x:f>
        <x:v>暂不处理，等一次排查窗口。</x:v>
      </x:c>
      <x:c r="L80" s="42" t="n">
        <x:v>46272</x:v>
      </x:c>
      <x:c r="M80" s="42" t="n">
        <x:v>46272</x:v>
      </x:c>
      <x:c r="N80" s="42" t="n">
        <x:v>46212</x:v>
      </x:c>
      <x:c r="O80" s="42" t="n">
        <x:v>46227</x:v>
      </x:c>
      <x:c r="P80" s="42" t="n">
        <x:v>46251</x:v>
      </x:c>
      <x:c r="Q80" s="42" t="n">
        <x:v>46258</x:v>
      </x:c>
      <x:c r="R80" s="42" t="n">
        <x:v>46265</x:v>
      </x:c>
      <x:c r="S80" s="42" t="n">
        <x:v>46274</x:v>
      </x:c>
      <x:c r="T80" s="43" t="n">
        <x:f>$L80-'今日提醒'!$B$2</x:f>
        <x:v>105</x:v>
      </x:c>
      <x:c r="U80" s="74" t="n">
        <x:f>IF(OR($J80="收尾下滑",$J80="节后清尾",$J80="节点当日",$J80="节点进行中",$J80="高频跟进",$J80="临近高频",$J80="大节气提前",$J80="二次排查",$J80="临近二次",$J80="一次排查"),IF($J80="收尾下滑",1,IF($J80="节后清尾",2,IF($J80="节点当日",3,IF($J80="节点进行中",4,IF($J80="高频跟进",5,IF($J80="临近高频",6,IF($J80="大节气提前",7,IF($J80="二次排查",8,IF($J80="临近二次",9,10)))))))))*100000+ROW(),99999999+ROW())</x:f>
        <x:v>100000079</x:v>
      </x:c>
      <x:c r="V80" s="15" t="str">
        <x:f>IF(OR($J80="收尾下滑",$J80="节后清尾"),"风险/止损",IF($J80="节点当日","机会/当日冲刺",IF($J80="节点进行中","机会/进行中",IF($J80="高频跟进","机会/高频",IF($J80="大节气提前","机会/大节气提前",IF(OR($J80="临近高频",$J80="临近二次",$J80="二次排查",$J80="一次排查"),"机会/预热","非今日"))))))</x:f>
        <x:v>非今日</x:v>
      </x:c>
      <x:c r="W80" s="15" t="str">
        <x:f>IF($J80="收尾下滑","控投/清尾/算留仓",IF($J80="节后清尾","节后降投/复盘",IF($J80="节点当日","当日冲刺/控尾流",IF($J80="节点进行中","转化监控/看趋势",IF($J80="高频跟进","放量+控ACOS",IF($J80="大节气提前","提前锁结构/预算",IF($J80="临近高频","预查结构/埋词",IF($J80="临近二次","提前补结构/埋词",IF($J80="二次排查","补结构/补词",IF($J80="一次排查","筛SKU/核库存","暂无"))))))))))</x:f>
        <x:v>暂无</x:v>
      </x:c>
      <x:c r="X80" s="15" t="str">
        <x:f>IF(AND('今日提醒'!$B$2&gt;=$L80,'今日提醒'!$B$2&lt;=$M80,$L80=$M80),"节点当日：不是预热",IF(AND('今日提醒'!$B$2&gt;=$L80,'今日提醒'!$B$2&lt;=$M80,'今日提醒'!$B$2&gt;$S80),"高频已结束但销售窗口未结束：疑似尾期/下滑",IF(AND('今日提醒'!$B$2&gt;$M80,'今日提醒'!$B$2&lt;=$S80),"节点已过但仍在清尾窗口",IF($J80="大节气提前","大节气高频前30天：提前进入主推准备",IF($J80="临近二次","大节气二次排查前14天：提前准备","")))))</x:f>
      </x:c>
    </x:row>
    <x:row r="81" ht="58" hidden="0" customHeight="1">
      <x:c r="A81" s="41" t="str">
        <x:v>Grandparents Day</x:v>
      </x:c>
      <x:c r="B81" s="41" t="str">
        <x:v>祖父母节</x:v>
      </x:c>
      <x:c r="C81" s="41" t="str">
        <x:v>面向grandma/grandpa的礼品节点，适合家庭亲情、纪念类产品。</x:v>
      </x:c>
      <x:c r="D81" s="41" t="str">
        <x:v>2026-09-13</x:v>
      </x:c>
      <x:c r="E81" s="41" t="str">
        <x:v>每年变动</x:v>
      </x:c>
      <x:c r="F81" s="41" t="str">
        <x:v>grandma/grandpa gifts、相框、祝福卡、家庭纪念小礼</x:v>
      </x:c>
      <x:c r="G81" s="41" t="str">
        <x:v>2026-07-15 ~ 2026-07-30：先筛匹配SKU、历史销量、库存和利润空间。</x:v>
      </x:c>
      <x:c r="H81" s="41" t="str">
        <x:v>2026-08-14 ~ 2026-08-23：补关键词/ASIN、Listing埋词和广告预算。</x:v>
      </x:c>
      <x:c r="I81" s="41" t="str">
        <x:v>2026-08-30 ~ 2026-09-15：重点SKU每日看，普通SKU每2-3天看。</x:v>
      </x:c>
      <x:c r="J81" s="41" t="str">
        <x:f>IF(AND('今日提醒'!$B$2&gt;=$L81,'今日提醒'!$B$2&lt;=$M81,$L81=$M81),"节点当日",IF(AND('今日提醒'!$B$2&gt;=$L81,'今日提醒'!$B$2&lt;=$M81,'今日提醒'!$B$2&gt;$S81),"收尾下滑",IF(AND('今日提醒'!$B$2&gt;=$L81,'今日提醒'!$B$2&lt;=$M81),"节点进行中",IF(AND('今日提醒'!$B$2&gt;$M81,'今日提醒'!$B$2&lt;=$S81),"节后清尾",IF(AND('今日提醒'!$B$2&gt;=$R81,'今日提醒'!$B$2&lt;=$S81),"高频跟进",IF(AND('今日提醒'!$B$2&gt;=($R81-14),'今日提醒'!$B$2&lt;$R81,'今日提醒'!$B$2&lt;$L81),"临近高频",IF(AND(OR($A81="Chinese New Year",$A81="Super Bowl",$A81="Valentine's Day",$A81="Valentine Week",$A81="St. Patrick's Day",$A81="Easter",$A81="Graduation Season",$A81="Prom Season",$A81="Teacher Appreciation Week",$A81="Mother's Day",$A81="Memorial Day",$A81="Father's Day",$A81="Independence Day",$A81="Back-to-School Season",$A81="Labor Day",$A81="Halloween",$A81="Thanksgiving",$A81="Black Friday / Cyber Monday",$A81="Christmas",$A81="New Year's Eve / New Year Season"),'今日提醒'!$B$2&gt;=($R81-30),'今日提醒'!$B$2&lt;$R81,'今日提醒'!$B$2&lt;$L81),"大节气提前",IF(AND('今日提醒'!$B$2&gt;=$P81,'今日提醒'!$B$2&lt;=$Q81),"二次排查",IF(AND(OR($A81="Chinese New Year",$A81="Super Bowl",$A81="Valentine's Day",$A81="Valentine Week",$A81="St. Patrick's Day",$A81="Easter",$A81="Graduation Season",$A81="Prom Season",$A81="Teacher Appreciation Week",$A81="Mother's Day",$A81="Memorial Day",$A81="Father's Day",$A81="Independence Day",$A81="Back-to-School Season",$A81="Labor Day",$A81="Halloween",$A81="Thanksgiving",$A81="Black Friday / Cyber Monday",$A81="Christmas",$A81="New Year's Eve / New Year Season"),'今日提醒'!$B$2&gt;=($P81-14),'今日提醒'!$B$2&lt;$P81,'今日提醒'!$B$2&lt;$L81),"临近二次",IF(AND('今日提醒'!$B$2&gt;=$N81,'今日提醒'!$B$2&lt;=$O81),"一次排查",IF('今日提醒'!$B$2&lt;$N81,"未到排查",IF('今日提醒'!$B$2&lt;$L81,"等待下一窗口","已过"))))))))))))</x:f>
        <x:v>未到排查</x:v>
      </x:c>
      <x:c r="K81" s="41" t="str">
        <x:f>IF($J81="收尾下滑","主购买/高频窗口已过，流量可能走弱：不要盲目加预算或新建组；优先看库存压力、ACOS、广告占比、自然单，仅保留高转化词，计算清货/留仓。",IF($J81="节后清尾","节点已过但仍在清尾窗口：控低效词、降无效预算，复盘转化词；库存重则算清货，库存轻则吃完尾流。",IF($J81="节点当日","今天就是节点当日：优先看转化、库存承接、广告花费和尾流风险；可以吃最后一波有效流量，但不要再大范围新建或盲目加预算。",IF($J81="节点进行中","当前在节点/销售窗口内：这是进行中，不是预热；重点看销量、库存承接、广告花费、转化和是否已出现流量下滑。",IF($J81="高频跟进","今天在高频跟进窗口：头部SKU每日看；重点看高库存、高花费、断货风险和ACOS。",IF($J81="临近高频","高频窗口即将开始：今天先预查广告结构、关键词/ASIN、Listing埋词、库存承接和预算，避免临近节点再补。",IF($J81="大节气提前","大节气提前窗口：不要等高频当天再动；今天先锁定主推SKU、库存承接、Listing节日词、广告结构和预算上限，低相关/低库存产品不硬推。",IF($J81="二次排查","今天在二次排查窗口：补广告结构、关键词/ASIN、预算和Listing埋词。",IF($J81="临近二次","大节气二次排查即将开始：提前准备词/ASIN/图片/价格/促销，不等窗口当天才补结构。",IF($J81="一次排查","今天在一次排查窗口：先筛SKU，看历史动销、库存、利润和Listing匹配。",IF($J81="未到排查","暂不处理，等一次排查窗口。",IF($J81="等待下一窗口","暂不在排查窗口；等高频或节点开始，除非有库存/广告异常。","已过：复盘、降投、清尾或沉淀明年节点。"))))))))))))</x:f>
        <x:v>暂不处理，等一次排查窗口。</x:v>
      </x:c>
      <x:c r="L81" s="42" t="n">
        <x:v>46278</x:v>
      </x:c>
      <x:c r="M81" s="42" t="n">
        <x:v>46278</x:v>
      </x:c>
      <x:c r="N81" s="42" t="n">
        <x:v>46218</x:v>
      </x:c>
      <x:c r="O81" s="42" t="n">
        <x:v>46233</x:v>
      </x:c>
      <x:c r="P81" s="42" t="n">
        <x:v>46248</x:v>
      </x:c>
      <x:c r="Q81" s="42" t="n">
        <x:v>46257</x:v>
      </x:c>
      <x:c r="R81" s="42" t="n">
        <x:v>46264</x:v>
      </x:c>
      <x:c r="S81" s="42" t="n">
        <x:v>46280</x:v>
      </x:c>
      <x:c r="T81" s="43" t="n">
        <x:f>$L81-'今日提醒'!$B$2</x:f>
        <x:v>111</x:v>
      </x:c>
      <x:c r="U81" s="74" t="n">
        <x:f>IF(OR($J81="收尾下滑",$J81="节后清尾",$J81="节点当日",$J81="节点进行中",$J81="高频跟进",$J81="临近高频",$J81="大节气提前",$J81="二次排查",$J81="临近二次",$J81="一次排查"),IF($J81="收尾下滑",1,IF($J81="节后清尾",2,IF($J81="节点当日",3,IF($J81="节点进行中",4,IF($J81="高频跟进",5,IF($J81="临近高频",6,IF($J81="大节气提前",7,IF($J81="二次排查",8,IF($J81="临近二次",9,10)))))))))*100000+ROW(),99999999+ROW())</x:f>
        <x:v>100000080</x:v>
      </x:c>
      <x:c r="V81" s="15" t="str">
        <x:f>IF(OR($J81="收尾下滑",$J81="节后清尾"),"风险/止损",IF($J81="节点当日","机会/当日冲刺",IF($J81="节点进行中","机会/进行中",IF($J81="高频跟进","机会/高频",IF($J81="大节气提前","机会/大节气提前",IF(OR($J81="临近高频",$J81="临近二次",$J81="二次排查",$J81="一次排查"),"机会/预热","非今日"))))))</x:f>
        <x:v>非今日</x:v>
      </x:c>
      <x:c r="W81" s="15" t="str">
        <x:f>IF($J81="收尾下滑","控投/清尾/算留仓",IF($J81="节后清尾","节后降投/复盘",IF($J81="节点当日","当日冲刺/控尾流",IF($J81="节点进行中","转化监控/看趋势",IF($J81="高频跟进","放量+控ACOS",IF($J81="大节气提前","提前锁结构/预算",IF($J81="临近高频","预查结构/埋词",IF($J81="临近二次","提前补结构/埋词",IF($J81="二次排查","补结构/补词",IF($J81="一次排查","筛SKU/核库存","暂无"))))))))))</x:f>
        <x:v>暂无</x:v>
      </x:c>
      <x:c r="X81" s="15" t="str">
        <x:f>IF(AND('今日提醒'!$B$2&gt;=$L81,'今日提醒'!$B$2&lt;=$M81,$L81=$M81),"节点当日：不是预热",IF(AND('今日提醒'!$B$2&gt;=$L81,'今日提醒'!$B$2&lt;=$M81,'今日提醒'!$B$2&gt;$S81),"高频已结束但销售窗口未结束：疑似尾期/下滑",IF(AND('今日提醒'!$B$2&gt;$M81,'今日提醒'!$B$2&lt;=$S81),"节点已过但仍在清尾窗口",IF($J81="大节气提前","大节气高频前30天：提前进入主推准备",IF($J81="临近二次","大节气二次排查前14天：提前准备","")))))</x:f>
      </x:c>
    </x:row>
    <x:row r="82" ht="58" hidden="0" customHeight="1">
      <x:c r="A82" s="41" t="str">
        <x:v>Suicide Prevention Month</x:v>
      </x:c>
      <x:c r="B82" s="41" t="str">
        <x:v>自杀预防月</x:v>
      </x:c>
      <x:c r="C82" s="41" t="str">
        <x:v>关注自杀预防、心理支持和求助意识，适合support、you matter等产品但营销要非常克制。</x:v>
      </x:c>
      <x:c r="D82" s="41" t="str">
        <x:v>2026-09-01 ~ 2026-09-30</x:v>
      </x:c>
      <x:c r="E82" s="41" t="str">
        <x:v>固定月份</x:v>
      </x:c>
      <x:c r="F82" s="41" t="str">
        <x:v>意识/支持类产品：丝带、手链、鼓励卡、贴纸；敏感节点商业化要克制</x:v>
      </x:c>
      <x:c r="G82" s="41" t="str">
        <x:v>2026-06-03 ~ 2026-06-18：先确认产品真实匹配，避免硬蹭敏感议题。</x:v>
      </x:c>
      <x:c r="H82" s="41" t="str">
        <x:v>2026-07-18 ~ 2026-07-28：检查图片/文案/关键词是否克制且合规。</x:v>
      </x:c>
      <x:c r="I82" s="41" t="str">
        <x:v>2026-08-18 ~ 2026-09-15：每2-3天看；表现差或表达风险高就停。</x:v>
      </x:c>
      <x:c r="J82" s="41" t="str">
        <x:f>IF(AND('今日提醒'!$B$2&gt;=$L82,'今日提醒'!$B$2&lt;=$M82,$L82=$M82),"节点当日",IF(AND('今日提醒'!$B$2&gt;=$L82,'今日提醒'!$B$2&lt;=$M82,'今日提醒'!$B$2&gt;$S82),"收尾下滑",IF(AND('今日提醒'!$B$2&gt;=$L82,'今日提醒'!$B$2&lt;=$M82),"节点进行中",IF(AND('今日提醒'!$B$2&gt;$M82,'今日提醒'!$B$2&lt;=$S82),"节后清尾",IF(AND('今日提醒'!$B$2&gt;=$R82,'今日提醒'!$B$2&lt;=$S82),"高频跟进",IF(AND('今日提醒'!$B$2&gt;=($R82-14),'今日提醒'!$B$2&lt;$R82,'今日提醒'!$B$2&lt;$L82),"临近高频",IF(AND(OR($A82="Chinese New Year",$A82="Super Bowl",$A82="Valentine's Day",$A82="Valentine Week",$A82="St. Patrick's Day",$A82="Easter",$A82="Graduation Season",$A82="Prom Season",$A82="Teacher Appreciation Week",$A82="Mother's Day",$A82="Memorial Day",$A82="Father's Day",$A82="Independence Day",$A82="Back-to-School Season",$A82="Labor Day",$A82="Halloween",$A82="Thanksgiving",$A82="Black Friday / Cyber Monday",$A82="Christmas",$A82="New Year's Eve / New Year Season"),'今日提醒'!$B$2&gt;=($R82-30),'今日提醒'!$B$2&lt;$R82,'今日提醒'!$B$2&lt;$L82),"大节气提前",IF(AND('今日提醒'!$B$2&gt;=$P82,'今日提醒'!$B$2&lt;=$Q82),"二次排查",IF(AND(OR($A82="Chinese New Year",$A82="Super Bowl",$A82="Valentine's Day",$A82="Valentine Week",$A82="St. Patrick's Day",$A82="Easter",$A82="Graduation Season",$A82="Prom Season",$A82="Teacher Appreciation Week",$A82="Mother's Day",$A82="Memorial Day",$A82="Father's Day",$A82="Independence Day",$A82="Back-to-School Season",$A82="Labor Day",$A82="Halloween",$A82="Thanksgiving",$A82="Black Friday / Cyber Monday",$A82="Christmas",$A82="New Year's Eve / New Year Season"),'今日提醒'!$B$2&gt;=($P82-14),'今日提醒'!$B$2&lt;$P82,'今日提醒'!$B$2&lt;$L82),"临近二次",IF(AND('今日提醒'!$B$2&gt;=$N82,'今日提醒'!$B$2&lt;=$O82),"一次排查",IF('今日提醒'!$B$2&lt;$N82,"未到排查",IF('今日提醒'!$B$2&lt;$L82,"等待下一窗口","已过"))))))))))))</x:f>
        <x:v>未到排查</x:v>
      </x:c>
      <x:c r="K82" s="41" t="str">
        <x:f>IF($J82="收尾下滑","主购买/高频窗口已过，流量可能走弱：不要盲目加预算或新建组；优先看库存压力、ACOS、广告占比、自然单，仅保留高转化词，计算清货/留仓。",IF($J82="节后清尾","节点已过但仍在清尾窗口：控低效词、降无效预算，复盘转化词；库存重则算清货，库存轻则吃完尾流。",IF($J82="节点当日","今天就是节点当日：优先看转化、库存承接、广告花费和尾流风险；可以吃最后一波有效流量，但不要再大范围新建或盲目加预算。",IF($J82="节点进行中","当前在节点/销售窗口内：这是进行中，不是预热；重点看销量、库存承接、广告花费、转化和是否已出现流量下滑。",IF($J82="高频跟进","今天在高频跟进窗口：头部SKU每日看；重点看高库存、高花费、断货风险和ACOS。",IF($J82="临近高频","高频窗口即将开始：今天先预查广告结构、关键词/ASIN、Listing埋词、库存承接和预算，避免临近节点再补。",IF($J82="大节气提前","大节气提前窗口：不要等高频当天再动；今天先锁定主推SKU、库存承接、Listing节日词、广告结构和预算上限，低相关/低库存产品不硬推。",IF($J82="二次排查","今天在二次排查窗口：补广告结构、关键词/ASIN、预算和Listing埋词。",IF($J82="临近二次","大节气二次排查即将开始：提前准备词/ASIN/图片/价格/促销，不等窗口当天才补结构。",IF($J82="一次排查","今天在一次排查窗口：先筛SKU，看历史动销、库存、利润和Listing匹配。",IF($J82="未到排查","暂不处理，等一次排查窗口。",IF($J82="等待下一窗口","暂不在排查窗口；等高频或节点开始，除非有库存/广告异常。","已过：复盘、降投、清尾或沉淀明年节点。"))))))))))))</x:f>
        <x:v>暂不处理，等一次排查窗口。</x:v>
      </x:c>
      <x:c r="L82" s="42" t="n">
        <x:v>46266</x:v>
      </x:c>
      <x:c r="M82" s="42" t="n">
        <x:v>46295</x:v>
      </x:c>
      <x:c r="N82" s="42" t="n">
        <x:v>46176</x:v>
      </x:c>
      <x:c r="O82" s="42" t="n">
        <x:v>46191</x:v>
      </x:c>
      <x:c r="P82" s="42" t="n">
        <x:v>46221</x:v>
      </x:c>
      <x:c r="Q82" s="42" t="n">
        <x:v>46231</x:v>
      </x:c>
      <x:c r="R82" s="42" t="n">
        <x:v>46252</x:v>
      </x:c>
      <x:c r="S82" s="42" t="n">
        <x:v>46280</x:v>
      </x:c>
      <x:c r="T82" s="43" t="n">
        <x:f>$L82-'今日提醒'!$B$2</x:f>
        <x:v>99</x:v>
      </x:c>
      <x:c r="U82" s="74" t="n">
        <x:f>IF(OR($J82="收尾下滑",$J82="节后清尾",$J82="节点当日",$J82="节点进行中",$J82="高频跟进",$J82="临近高频",$J82="大节气提前",$J82="二次排查",$J82="临近二次",$J82="一次排查"),IF($J82="收尾下滑",1,IF($J82="节后清尾",2,IF($J82="节点当日",3,IF($J82="节点进行中",4,IF($J82="高频跟进",5,IF($J82="临近高频",6,IF($J82="大节气提前",7,IF($J82="二次排查",8,IF($J82="临近二次",9,10)))))))))*100000+ROW(),99999999+ROW())</x:f>
        <x:v>100000081</x:v>
      </x:c>
      <x:c r="V82" s="15" t="str">
        <x:f>IF(OR($J82="收尾下滑",$J82="节后清尾"),"风险/止损",IF($J82="节点当日","机会/当日冲刺",IF($J82="节点进行中","机会/进行中",IF($J82="高频跟进","机会/高频",IF($J82="大节气提前","机会/大节气提前",IF(OR($J82="临近高频",$J82="临近二次",$J82="二次排查",$J82="一次排查"),"机会/预热","非今日"))))))</x:f>
        <x:v>非今日</x:v>
      </x:c>
      <x:c r="W82" s="15" t="str">
        <x:f>IF($J82="收尾下滑","控投/清尾/算留仓",IF($J82="节后清尾","节后降投/复盘",IF($J82="节点当日","当日冲刺/控尾流",IF($J82="节点进行中","转化监控/看趋势",IF($J82="高频跟进","放量+控ACOS",IF($J82="大节气提前","提前锁结构/预算",IF($J82="临近高频","预查结构/埋词",IF($J82="临近二次","提前补结构/埋词",IF($J82="二次排查","补结构/补词",IF($J82="一次排查","筛SKU/核库存","暂无"))))))))))</x:f>
        <x:v>暂无</x:v>
      </x:c>
      <x:c r="X82" s="15" t="str">
        <x:f>IF(AND('今日提醒'!$B$2&gt;=$L82,'今日提醒'!$B$2&lt;=$M82,$L82=$M82),"节点当日：不是预热",IF(AND('今日提醒'!$B$2&gt;=$L82,'今日提醒'!$B$2&lt;=$M82,'今日提醒'!$B$2&gt;$S82),"高频已结束但销售窗口未结束：疑似尾期/下滑",IF(AND('今日提醒'!$B$2&gt;$M82,'今日提醒'!$B$2&lt;=$S82),"节点已过但仍在清尾窗口",IF($J82="大节气提前","大节气高频前30天：提前进入主推准备",IF($J82="临近二次","大节气二次排查前14天：提前准备","")))))</x:f>
      </x:c>
    </x:row>
    <x:row r="83" ht="58" hidden="0" customHeight="1">
      <x:c r="A83" s="41" t="str">
        <x:v>World Suicide Prevention Day</x:v>
      </x:c>
      <x:c r="B83" s="41" t="str">
        <x:v>世界自杀预防日</x:v>
      </x:c>
      <x:c r="C83" s="41" t="str">
        <x:v>全球聚焦自杀预防和心理健康支持的单日节点，适合公益和支持性表达。</x:v>
      </x:c>
      <x:c r="D83" s="41" t="str">
        <x:v>2026-09-10</x:v>
      </x:c>
      <x:c r="E83" s="41" t="str">
        <x:v>固定日期</x:v>
      </x:c>
      <x:c r="F83" s="41" t="str">
        <x:v>意识/支持类产品：丝带、手链、鼓励卡、贴纸；敏感节点商业化要克制</x:v>
      </x:c>
      <x:c r="G83" s="41" t="str">
        <x:v>2026-06-12 ~ 2026-06-27：先确认产品真实匹配，避免硬蹭敏感议题。</x:v>
      </x:c>
      <x:c r="H83" s="41" t="str">
        <x:v>2026-07-27 ~ 2026-08-06：检查图片/文案/关键词是否克制且合规。</x:v>
      </x:c>
      <x:c r="I83" s="41" t="str">
        <x:v>2026-08-27 ~ 2026-09-10：每2-3天看；表现差或表达风险高就停。</x:v>
      </x:c>
      <x:c r="J83" s="41" t="str">
        <x:f>IF(AND('今日提醒'!$B$2&gt;=$L83,'今日提醒'!$B$2&lt;=$M83,$L83=$M83),"节点当日",IF(AND('今日提醒'!$B$2&gt;=$L83,'今日提醒'!$B$2&lt;=$M83,'今日提醒'!$B$2&gt;$S83),"收尾下滑",IF(AND('今日提醒'!$B$2&gt;=$L83,'今日提醒'!$B$2&lt;=$M83),"节点进行中",IF(AND('今日提醒'!$B$2&gt;$M83,'今日提醒'!$B$2&lt;=$S83),"节后清尾",IF(AND('今日提醒'!$B$2&gt;=$R83,'今日提醒'!$B$2&lt;=$S83),"高频跟进",IF(AND('今日提醒'!$B$2&gt;=($R83-14),'今日提醒'!$B$2&lt;$R83,'今日提醒'!$B$2&lt;$L83),"临近高频",IF(AND(OR($A83="Chinese New Year",$A83="Super Bowl",$A83="Valentine's Day",$A83="Valentine Week",$A83="St. Patrick's Day",$A83="Easter",$A83="Graduation Season",$A83="Prom Season",$A83="Teacher Appreciation Week",$A83="Mother's Day",$A83="Memorial Day",$A83="Father's Day",$A83="Independence Day",$A83="Back-to-School Season",$A83="Labor Day",$A83="Halloween",$A83="Thanksgiving",$A83="Black Friday / Cyber Monday",$A83="Christmas",$A83="New Year's Eve / New Year Season"),'今日提醒'!$B$2&gt;=($R83-30),'今日提醒'!$B$2&lt;$R83,'今日提醒'!$B$2&lt;$L83),"大节气提前",IF(AND('今日提醒'!$B$2&gt;=$P83,'今日提醒'!$B$2&lt;=$Q83),"二次排查",IF(AND(OR($A83="Chinese New Year",$A83="Super Bowl",$A83="Valentine's Day",$A83="Valentine Week",$A83="St. Patrick's Day",$A83="Easter",$A83="Graduation Season",$A83="Prom Season",$A83="Teacher Appreciation Week",$A83="Mother's Day",$A83="Memorial Day",$A83="Father's Day",$A83="Independence Day",$A83="Back-to-School Season",$A83="Labor Day",$A83="Halloween",$A83="Thanksgiving",$A83="Black Friday / Cyber Monday",$A83="Christmas",$A83="New Year's Eve / New Year Season"),'今日提醒'!$B$2&gt;=($P83-14),'今日提醒'!$B$2&lt;$P83,'今日提醒'!$B$2&lt;$L83),"临近二次",IF(AND('今日提醒'!$B$2&gt;=$N83,'今日提醒'!$B$2&lt;=$O83),"一次排查",IF('今日提醒'!$B$2&lt;$N83,"未到排查",IF('今日提醒'!$B$2&lt;$L83,"等待下一窗口","已过"))))))))))))</x:f>
        <x:v>未到排查</x:v>
      </x:c>
      <x:c r="K83" s="41" t="str">
        <x:f>IF($J83="收尾下滑","主购买/高频窗口已过，流量可能走弱：不要盲目加预算或新建组；优先看库存压力、ACOS、广告占比、自然单，仅保留高转化词，计算清货/留仓。",IF($J83="节后清尾","节点已过但仍在清尾窗口：控低效词、降无效预算，复盘转化词；库存重则算清货，库存轻则吃完尾流。",IF($J83="节点当日","今天就是节点当日：优先看转化、库存承接、广告花费和尾流风险；可以吃最后一波有效流量，但不要再大范围新建或盲目加预算。",IF($J83="节点进行中","当前在节点/销售窗口内：这是进行中，不是预热；重点看销量、库存承接、广告花费、转化和是否已出现流量下滑。",IF($J83="高频跟进","今天在高频跟进窗口：头部SKU每日看；重点看高库存、高花费、断货风险和ACOS。",IF($J83="临近高频","高频窗口即将开始：今天先预查广告结构、关键词/ASIN、Listing埋词、库存承接和预算，避免临近节点再补。",IF($J83="大节气提前","大节气提前窗口：不要等高频当天再动；今天先锁定主推SKU、库存承接、Listing节日词、广告结构和预算上限，低相关/低库存产品不硬推。",IF($J83="二次排查","今天在二次排查窗口：补广告结构、关键词/ASIN、预算和Listing埋词。",IF($J83="临近二次","大节气二次排查即将开始：提前准备词/ASIN/图片/价格/促销，不等窗口当天才补结构。",IF($J83="一次排查","今天在一次排查窗口：先筛SKU，看历史动销、库存、利润和Listing匹配。",IF($J83="未到排查","暂不处理，等一次排查窗口。",IF($J83="等待下一窗口","暂不在排查窗口；等高频或节点开始，除非有库存/广告异常。","已过：复盘、降投、清尾或沉淀明年节点。"))))))))))))</x:f>
        <x:v>暂不处理，等一次排查窗口。</x:v>
      </x:c>
      <x:c r="L83" s="42" t="n">
        <x:v>46275</x:v>
      </x:c>
      <x:c r="M83" s="42" t="n">
        <x:v>46275</x:v>
      </x:c>
      <x:c r="N83" s="42" t="n">
        <x:v>46185</x:v>
      </x:c>
      <x:c r="O83" s="42" t="n">
        <x:v>46200</x:v>
      </x:c>
      <x:c r="P83" s="42" t="n">
        <x:v>46230</x:v>
      </x:c>
      <x:c r="Q83" s="42" t="n">
        <x:v>46240</x:v>
      </x:c>
      <x:c r="R83" s="42" t="n">
        <x:v>46261</x:v>
      </x:c>
      <x:c r="S83" s="42" t="n">
        <x:v>46275</x:v>
      </x:c>
      <x:c r="T83" s="43" t="n">
        <x:f>$L83-'今日提醒'!$B$2</x:f>
        <x:v>108</x:v>
      </x:c>
      <x:c r="U83" s="74" t="n">
        <x:f>IF(OR($J83="收尾下滑",$J83="节后清尾",$J83="节点当日",$J83="节点进行中",$J83="高频跟进",$J83="临近高频",$J83="大节气提前",$J83="二次排查",$J83="临近二次",$J83="一次排查"),IF($J83="收尾下滑",1,IF($J83="节后清尾",2,IF($J83="节点当日",3,IF($J83="节点进行中",4,IF($J83="高频跟进",5,IF($J83="临近高频",6,IF($J83="大节气提前",7,IF($J83="二次排查",8,IF($J83="临近二次",9,10)))))))))*100000+ROW(),99999999+ROW())</x:f>
        <x:v>100000082</x:v>
      </x:c>
      <x:c r="V83" s="15" t="str">
        <x:f>IF(OR($J83="收尾下滑",$J83="节后清尾"),"风险/止损",IF($J83="节点当日","机会/当日冲刺",IF($J83="节点进行中","机会/进行中",IF($J83="高频跟进","机会/高频",IF($J83="大节气提前","机会/大节气提前",IF(OR($J83="临近高频",$J83="临近二次",$J83="二次排查",$J83="一次排查"),"机会/预热","非今日"))))))</x:f>
        <x:v>非今日</x:v>
      </x:c>
      <x:c r="W83" s="15" t="str">
        <x:f>IF($J83="收尾下滑","控投/清尾/算留仓",IF($J83="节后清尾","节后降投/复盘",IF($J83="节点当日","当日冲刺/控尾流",IF($J83="节点进行中","转化监控/看趋势",IF($J83="高频跟进","放量+控ACOS",IF($J83="大节气提前","提前锁结构/预算",IF($J83="临近高频","预查结构/埋词",IF($J83="临近二次","提前补结构/埋词",IF($J83="二次排查","补结构/补词",IF($J83="一次排查","筛SKU/核库存","暂无"))))))))))</x:f>
        <x:v>暂无</x:v>
      </x:c>
      <x:c r="X83" s="15" t="str">
        <x:f>IF(AND('今日提醒'!$B$2&gt;=$L83,'今日提醒'!$B$2&lt;=$M83,$L83=$M83),"节点当日：不是预热",IF(AND('今日提醒'!$B$2&gt;=$L83,'今日提醒'!$B$2&lt;=$M83,'今日提醒'!$B$2&gt;$S83),"高频已结束但销售窗口未结束：疑似尾期/下滑",IF(AND('今日提醒'!$B$2&gt;$M83,'今日提醒'!$B$2&lt;=$S83),"节点已过但仍在清尾窗口",IF($J83="大节气提前","大节气高频前30天：提前进入主推准备",IF($J83="临近二次","大节气二次排查前14天：提前准备","")))))</x:f>
      </x:c>
    </x:row>
    <x:row r="84" ht="58" hidden="0" customHeight="1">
      <x:c r="A84" s="41" t="str">
        <x:v>Childhood Cancer Awareness Month</x:v>
      </x:c>
      <x:c r="B84" s="41" t="str">
        <x:v>儿童癌症关注月</x:v>
      </x:c>
      <x:c r="C84" s="41" t="str">
        <x:v>以金丝带为代表的儿童癌症意识节点，适合公益支持类产品。</x:v>
      </x:c>
      <x:c r="D84" s="41" t="str">
        <x:v>2026-09-01 ~ 2026-09-30</x:v>
      </x:c>
      <x:c r="E84" s="41" t="str">
        <x:v>固定月份</x:v>
      </x:c>
      <x:c r="F84" s="41" t="str">
        <x:v>意识/支持类产品：丝带、手链、鼓励卡、贴纸；敏感节点商业化要克制</x:v>
      </x:c>
      <x:c r="G84" s="41" t="str">
        <x:v>2026-06-03 ~ 2026-06-18：先确认产品真实匹配，避免硬蹭敏感议题。</x:v>
      </x:c>
      <x:c r="H84" s="41" t="str">
        <x:v>2026-07-18 ~ 2026-07-28：检查图片/文案/关键词是否克制且合规。</x:v>
      </x:c>
      <x:c r="I84" s="41" t="str">
        <x:v>2026-08-18 ~ 2026-09-15：每2-3天看；表现差或表达风险高就停。</x:v>
      </x:c>
      <x:c r="J84" s="41" t="str">
        <x:f>IF(AND('今日提醒'!$B$2&gt;=$L84,'今日提醒'!$B$2&lt;=$M84,$L84=$M84),"节点当日",IF(AND('今日提醒'!$B$2&gt;=$L84,'今日提醒'!$B$2&lt;=$M84,'今日提醒'!$B$2&gt;$S84),"收尾下滑",IF(AND('今日提醒'!$B$2&gt;=$L84,'今日提醒'!$B$2&lt;=$M84),"节点进行中",IF(AND('今日提醒'!$B$2&gt;$M84,'今日提醒'!$B$2&lt;=$S84),"节后清尾",IF(AND('今日提醒'!$B$2&gt;=$R84,'今日提醒'!$B$2&lt;=$S84),"高频跟进",IF(AND('今日提醒'!$B$2&gt;=($R84-14),'今日提醒'!$B$2&lt;$R84,'今日提醒'!$B$2&lt;$L84),"临近高频",IF(AND(OR($A84="Chinese New Year",$A84="Super Bowl",$A84="Valentine's Day",$A84="Valentine Week",$A84="St. Patrick's Day",$A84="Easter",$A84="Graduation Season",$A84="Prom Season",$A84="Teacher Appreciation Week",$A84="Mother's Day",$A84="Memorial Day",$A84="Father's Day",$A84="Independence Day",$A84="Back-to-School Season",$A84="Labor Day",$A84="Halloween",$A84="Thanksgiving",$A84="Black Friday / Cyber Monday",$A84="Christmas",$A84="New Year's Eve / New Year Season"),'今日提醒'!$B$2&gt;=($R84-30),'今日提醒'!$B$2&lt;$R84,'今日提醒'!$B$2&lt;$L84),"大节气提前",IF(AND('今日提醒'!$B$2&gt;=$P84,'今日提醒'!$B$2&lt;=$Q84),"二次排查",IF(AND(OR($A84="Chinese New Year",$A84="Super Bowl",$A84="Valentine's Day",$A84="Valentine Week",$A84="St. Patrick's Day",$A84="Easter",$A84="Graduation Season",$A84="Prom Season",$A84="Teacher Appreciation Week",$A84="Mother's Day",$A84="Memorial Day",$A84="Father's Day",$A84="Independence Day",$A84="Back-to-School Season",$A84="Labor Day",$A84="Halloween",$A84="Thanksgiving",$A84="Black Friday / Cyber Monday",$A84="Christmas",$A84="New Year's Eve / New Year Season"),'今日提醒'!$B$2&gt;=($P84-14),'今日提醒'!$B$2&lt;$P84,'今日提醒'!$B$2&lt;$L84),"临近二次",IF(AND('今日提醒'!$B$2&gt;=$N84,'今日提醒'!$B$2&lt;=$O84),"一次排查",IF('今日提醒'!$B$2&lt;$N84,"未到排查",IF('今日提醒'!$B$2&lt;$L84,"等待下一窗口","已过"))))))))))))</x:f>
        <x:v>未到排查</x:v>
      </x:c>
      <x:c r="K84" s="41" t="str">
        <x:f>IF($J84="收尾下滑","主购买/高频窗口已过，流量可能走弱：不要盲目加预算或新建组；优先看库存压力、ACOS、广告占比、自然单，仅保留高转化词，计算清货/留仓。",IF($J84="节后清尾","节点已过但仍在清尾窗口：控低效词、降无效预算，复盘转化词；库存重则算清货，库存轻则吃完尾流。",IF($J84="节点当日","今天就是节点当日：优先看转化、库存承接、广告花费和尾流风险；可以吃最后一波有效流量，但不要再大范围新建或盲目加预算。",IF($J84="节点进行中","当前在节点/销售窗口内：这是进行中，不是预热；重点看销量、库存承接、广告花费、转化和是否已出现流量下滑。",IF($J84="高频跟进","今天在高频跟进窗口：头部SKU每日看；重点看高库存、高花费、断货风险和ACOS。",IF($J84="临近高频","高频窗口即将开始：今天先预查广告结构、关键词/ASIN、Listing埋词、库存承接和预算，避免临近节点再补。",IF($J84="大节气提前","大节气提前窗口：不要等高频当天再动；今天先锁定主推SKU、库存承接、Listing节日词、广告结构和预算上限，低相关/低库存产品不硬推。",IF($J84="二次排查","今天在二次排查窗口：补广告结构、关键词/ASIN、预算和Listing埋词。",IF($J84="临近二次","大节气二次排查即将开始：提前准备词/ASIN/图片/价格/促销，不等窗口当天才补结构。",IF($J84="一次排查","今天在一次排查窗口：先筛SKU，看历史动销、库存、利润和Listing匹配。",IF($J84="未到排查","暂不处理，等一次排查窗口。",IF($J84="等待下一窗口","暂不在排查窗口；等高频或节点开始，除非有库存/广告异常。","已过：复盘、降投、清尾或沉淀明年节点。"))))))))))))</x:f>
        <x:v>暂不处理，等一次排查窗口。</x:v>
      </x:c>
      <x:c r="L84" s="42" t="n">
        <x:v>46266</x:v>
      </x:c>
      <x:c r="M84" s="42" t="n">
        <x:v>46295</x:v>
      </x:c>
      <x:c r="N84" s="42" t="n">
        <x:v>46176</x:v>
      </x:c>
      <x:c r="O84" s="42" t="n">
        <x:v>46191</x:v>
      </x:c>
      <x:c r="P84" s="42" t="n">
        <x:v>46221</x:v>
      </x:c>
      <x:c r="Q84" s="42" t="n">
        <x:v>46231</x:v>
      </x:c>
      <x:c r="R84" s="42" t="n">
        <x:v>46252</x:v>
      </x:c>
      <x:c r="S84" s="42" t="n">
        <x:v>46280</x:v>
      </x:c>
      <x:c r="T84" s="43" t="n">
        <x:f>$L84-'今日提醒'!$B$2</x:f>
        <x:v>99</x:v>
      </x:c>
      <x:c r="U84" s="74" t="n">
        <x:f>IF(OR($J84="收尾下滑",$J84="节后清尾",$J84="节点当日",$J84="节点进行中",$J84="高频跟进",$J84="临近高频",$J84="大节气提前",$J84="二次排查",$J84="临近二次",$J84="一次排查"),IF($J84="收尾下滑",1,IF($J84="节后清尾",2,IF($J84="节点当日",3,IF($J84="节点进行中",4,IF($J84="高频跟进",5,IF($J84="临近高频",6,IF($J84="大节气提前",7,IF($J84="二次排查",8,IF($J84="临近二次",9,10)))))))))*100000+ROW(),99999999+ROW())</x:f>
        <x:v>100000083</x:v>
      </x:c>
      <x:c r="V84" s="15" t="str">
        <x:f>IF(OR($J84="收尾下滑",$J84="节后清尾"),"风险/止损",IF($J84="节点当日","机会/当日冲刺",IF($J84="节点进行中","机会/进行中",IF($J84="高频跟进","机会/高频",IF($J84="大节气提前","机会/大节气提前",IF(OR($J84="临近高频",$J84="临近二次",$J84="二次排查",$J84="一次排查"),"机会/预热","非今日"))))))</x:f>
        <x:v>非今日</x:v>
      </x:c>
      <x:c r="W84" s="15" t="str">
        <x:f>IF($J84="收尾下滑","控投/清尾/算留仓",IF($J84="节后清尾","节后降投/复盘",IF($J84="节点当日","当日冲刺/控尾流",IF($J84="节点进行中","转化监控/看趋势",IF($J84="高频跟进","放量+控ACOS",IF($J84="大节气提前","提前锁结构/预算",IF($J84="临近高频","预查结构/埋词",IF($J84="临近二次","提前补结构/埋词",IF($J84="二次排查","补结构/补词",IF($J84="一次排查","筛SKU/核库存","暂无"))))))))))</x:f>
        <x:v>暂无</x:v>
      </x:c>
      <x:c r="X84" s="15" t="str">
        <x:f>IF(AND('今日提醒'!$B$2&gt;=$L84,'今日提醒'!$B$2&lt;=$M84,$L84=$M84),"节点当日：不是预热",IF(AND('今日提醒'!$B$2&gt;=$L84,'今日提醒'!$B$2&lt;=$M84,'今日提醒'!$B$2&gt;$S84),"高频已结束但销售窗口未结束：疑似尾期/下滑",IF(AND('今日提醒'!$B$2&gt;$M84,'今日提醒'!$B$2&lt;=$S84),"节点已过但仍在清尾窗口",IF($J84="大节气提前","大节气高频前30天：提前进入主推准备",IF($J84="临近二次","大节气二次排查前14天：提前准备","")))))</x:f>
      </x:c>
    </x:row>
    <x:row r="85" ht="58" hidden="0" customHeight="1">
      <x:c r="A85" s="41" t="str">
        <x:v>DSP Appreciation Week</x:v>
      </x:c>
      <x:c r="B85" s="41" t="str">
        <x:v>直接支持专业人员感谢周</x:v>
      </x:c>
      <x:c r="C85" s="41" t="str">
        <x:v>表彰残障/长期护理服务中的直接支持人员，适合DSP感谢礼。</x:v>
      </x:c>
      <x:c r="D85" s="41" t="str">
        <x:v>2026-09-13 ~ 2026-09-19</x:v>
      </x:c>
      <x:c r="E85" s="41" t="str">
        <x:v>每年变动</x:v>
      </x:c>
      <x:c r="F85" s="41" t="str">
        <x:v>DSP appreciation gifts、direct support professional感谢卡/钥匙扣</x:v>
      </x:c>
      <x:c r="G85" s="41" t="str">
        <x:v>2026-06-30 ~ 2026-07-15：按职业词筛SKU，核库存、历史动销和礼品适配。</x:v>
      </x:c>
      <x:c r="H85" s="41" t="str">
        <x:v>2026-08-04 ~ 2026-08-14：建/补广告组，补关键词/ASIN，处理低效流量。</x:v>
      </x:c>
      <x:c r="I85" s="41" t="str">
        <x:v>2026-08-30 ~ 2026-09-19：高库存/高花费SKU每日看，其余2-3天看。</x:v>
      </x:c>
      <x:c r="J85" s="41" t="str">
        <x:f>IF(AND('今日提醒'!$B$2&gt;=$L85,'今日提醒'!$B$2&lt;=$M85,$L85=$M85),"节点当日",IF(AND('今日提醒'!$B$2&gt;=$L85,'今日提醒'!$B$2&lt;=$M85,'今日提醒'!$B$2&gt;$S85),"收尾下滑",IF(AND('今日提醒'!$B$2&gt;=$L85,'今日提醒'!$B$2&lt;=$M85),"节点进行中",IF(AND('今日提醒'!$B$2&gt;$M85,'今日提醒'!$B$2&lt;=$S85),"节后清尾",IF(AND('今日提醒'!$B$2&gt;=$R85,'今日提醒'!$B$2&lt;=$S85),"高频跟进",IF(AND('今日提醒'!$B$2&gt;=($R85-14),'今日提醒'!$B$2&lt;$R85,'今日提醒'!$B$2&lt;$L85),"临近高频",IF(AND(OR($A85="Chinese New Year",$A85="Super Bowl",$A85="Valentine's Day",$A85="Valentine Week",$A85="St. Patrick's Day",$A85="Easter",$A85="Graduation Season",$A85="Prom Season",$A85="Teacher Appreciation Week",$A85="Mother's Day",$A85="Memorial Day",$A85="Father's Day",$A85="Independence Day",$A85="Back-to-School Season",$A85="Labor Day",$A85="Halloween",$A85="Thanksgiving",$A85="Black Friday / Cyber Monday",$A85="Christmas",$A85="New Year's Eve / New Year Season"),'今日提醒'!$B$2&gt;=($R85-30),'今日提醒'!$B$2&lt;$R85,'今日提醒'!$B$2&lt;$L85),"大节气提前",IF(AND('今日提醒'!$B$2&gt;=$P85,'今日提醒'!$B$2&lt;=$Q85),"二次排查",IF(AND(OR($A85="Chinese New Year",$A85="Super Bowl",$A85="Valentine's Day",$A85="Valentine Week",$A85="St. Patrick's Day",$A85="Easter",$A85="Graduation Season",$A85="Prom Season",$A85="Teacher Appreciation Week",$A85="Mother's Day",$A85="Memorial Day",$A85="Father's Day",$A85="Independence Day",$A85="Back-to-School Season",$A85="Labor Day",$A85="Halloween",$A85="Thanksgiving",$A85="Black Friday / Cyber Monday",$A85="Christmas",$A85="New Year's Eve / New Year Season"),'今日提醒'!$B$2&gt;=($P85-14),'今日提醒'!$B$2&lt;$P85,'今日提醒'!$B$2&lt;$L85),"临近二次",IF(AND('今日提醒'!$B$2&gt;=$N85,'今日提醒'!$B$2&lt;=$O85),"一次排查",IF('今日提醒'!$B$2&lt;$N85,"未到排查",IF('今日提醒'!$B$2&lt;$L85,"等待下一窗口","已过"))))))))))))</x:f>
        <x:v>未到排查</x:v>
      </x:c>
      <x:c r="K85" s="41" t="str">
        <x:f>IF($J85="收尾下滑","主购买/高频窗口已过，流量可能走弱：不要盲目加预算或新建组；优先看库存压力、ACOS、广告占比、自然单，仅保留高转化词，计算清货/留仓。",IF($J85="节后清尾","节点已过但仍在清尾窗口：控低效词、降无效预算，复盘转化词；库存重则算清货，库存轻则吃完尾流。",IF($J85="节点当日","今天就是节点当日：优先看转化、库存承接、广告花费和尾流风险；可以吃最后一波有效流量，但不要再大范围新建或盲目加预算。",IF($J85="节点进行中","当前在节点/销售窗口内：这是进行中，不是预热；重点看销量、库存承接、广告花费、转化和是否已出现流量下滑。",IF($J85="高频跟进","今天在高频跟进窗口：头部SKU每日看；重点看高库存、高花费、断货风险和ACOS。",IF($J85="临近高频","高频窗口即将开始：今天先预查广告结构、关键词/ASIN、Listing埋词、库存承接和预算，避免临近节点再补。",IF($J85="大节气提前","大节气提前窗口：不要等高频当天再动；今天先锁定主推SKU、库存承接、Listing节日词、广告结构和预算上限，低相关/低库存产品不硬推。",IF($J85="二次排查","今天在二次排查窗口：补广告结构、关键词/ASIN、预算和Listing埋词。",IF($J85="临近二次","大节气二次排查即将开始：提前准备词/ASIN/图片/价格/促销，不等窗口当天才补结构。",IF($J85="一次排查","今天在一次排查窗口：先筛SKU，看历史动销、库存、利润和Listing匹配。",IF($J85="未到排查","暂不处理，等一次排查窗口。",IF($J85="等待下一窗口","暂不在排查窗口；等高频或节点开始，除非有库存/广告异常。","已过：复盘、降投、清尾或沉淀明年节点。"))))))))))))</x:f>
        <x:v>暂不处理，等一次排查窗口。</x:v>
      </x:c>
      <x:c r="L85" s="42" t="n">
        <x:v>46278</x:v>
      </x:c>
      <x:c r="M85" s="42" t="n">
        <x:v>46284</x:v>
      </x:c>
      <x:c r="N85" s="42" t="n">
        <x:v>46203</x:v>
      </x:c>
      <x:c r="O85" s="42" t="n">
        <x:v>46218</x:v>
      </x:c>
      <x:c r="P85" s="42" t="n">
        <x:v>46238</x:v>
      </x:c>
      <x:c r="Q85" s="42" t="n">
        <x:v>46248</x:v>
      </x:c>
      <x:c r="R85" s="42" t="n">
        <x:v>46264</x:v>
      </x:c>
      <x:c r="S85" s="42" t="n">
        <x:v>46284</x:v>
      </x:c>
      <x:c r="T85" s="43" t="n">
        <x:f>$L85-'今日提醒'!$B$2</x:f>
        <x:v>111</x:v>
      </x:c>
      <x:c r="U85" s="74" t="n">
        <x:f>IF(OR($J85="收尾下滑",$J85="节后清尾",$J85="节点当日",$J85="节点进行中",$J85="高频跟进",$J85="临近高频",$J85="大节气提前",$J85="二次排查",$J85="临近二次",$J85="一次排查"),IF($J85="收尾下滑",1,IF($J85="节后清尾",2,IF($J85="节点当日",3,IF($J85="节点进行中",4,IF($J85="高频跟进",5,IF($J85="临近高频",6,IF($J85="大节气提前",7,IF($J85="二次排查",8,IF($J85="临近二次",9,10)))))))))*100000+ROW(),99999999+ROW())</x:f>
        <x:v>100000084</x:v>
      </x:c>
      <x:c r="V85" s="15" t="str">
        <x:f>IF(OR($J85="收尾下滑",$J85="节后清尾"),"风险/止损",IF($J85="节点当日","机会/当日冲刺",IF($J85="节点进行中","机会/进行中",IF($J85="高频跟进","机会/高频",IF($J85="大节气提前","机会/大节气提前",IF(OR($J85="临近高频",$J85="临近二次",$J85="二次排查",$J85="一次排查"),"机会/预热","非今日"))))))</x:f>
        <x:v>非今日</x:v>
      </x:c>
      <x:c r="W85" s="15" t="str">
        <x:f>IF($J85="收尾下滑","控投/清尾/算留仓",IF($J85="节后清尾","节后降投/复盘",IF($J85="节点当日","当日冲刺/控尾流",IF($J85="节点进行中","转化监控/看趋势",IF($J85="高频跟进","放量+控ACOS",IF($J85="大节气提前","提前锁结构/预算",IF($J85="临近高频","预查结构/埋词",IF($J85="临近二次","提前补结构/埋词",IF($J85="二次排查","补结构/补词",IF($J85="一次排查","筛SKU/核库存","暂无"))))))))))</x:f>
        <x:v>暂无</x:v>
      </x:c>
      <x:c r="X85" s="15" t="str">
        <x:f>IF(AND('今日提醒'!$B$2&gt;=$L85,'今日提醒'!$B$2&lt;=$M85,$L85=$M85),"节点当日：不是预热",IF(AND('今日提醒'!$B$2&gt;=$L85,'今日提醒'!$B$2&lt;=$M85,'今日提醒'!$B$2&gt;$S85),"高频已结束但销售窗口未结束：疑似尾期/下滑",IF(AND('今日提醒'!$B$2&gt;$M85,'今日提醒'!$B$2&lt;=$S85),"节点已过但仍在清尾窗口",IF($J85="大节气提前","大节气高频前30天：提前进入主推准备",IF($J85="临近二次","大节气二次排查前14天：提前准备","")))))</x:f>
      </x:c>
    </x:row>
    <x:row r="86" ht="58" hidden="0" customHeight="1">
      <x:c r="A86" s="41" t="str">
        <x:v>Housekeeping Week</x:v>
      </x:c>
      <x:c r="B86" s="41" t="str">
        <x:v>客房/保洁人员周</x:v>
      </x:c>
      <x:c r="C86" s="41" t="str">
        <x:v>表彰酒店、医院、机构保洁和客房服务人员，适合housekeeping gifts。</x:v>
      </x:c>
      <x:c r="D86" s="41" t="str">
        <x:v>2026-09-13 ~ 2026-09-19</x:v>
      </x:c>
      <x:c r="E86" s="41" t="str">
        <x:v>每年变动</x:v>
      </x:c>
      <x:c r="F86" s="41" t="str">
        <x:v>hospital staff gifts、healthcare worker bulk gifts、感谢卡/钥匙扣</x:v>
      </x:c>
      <x:c r="G86" s="41" t="str">
        <x:v>2026-06-30 ~ 2026-07-15：按职业词筛SKU，核库存、历史动销和礼品适配。</x:v>
      </x:c>
      <x:c r="H86" s="41" t="str">
        <x:v>2026-08-04 ~ 2026-08-14：建/补广告组，补关键词/ASIN，处理低效流量。</x:v>
      </x:c>
      <x:c r="I86" s="41" t="str">
        <x:v>2026-08-30 ~ 2026-09-19：高库存/高花费SKU每日看，其余2-3天看。</x:v>
      </x:c>
      <x:c r="J86" s="41" t="str">
        <x:f>IF(AND('今日提醒'!$B$2&gt;=$L86,'今日提醒'!$B$2&lt;=$M86,$L86=$M86),"节点当日",IF(AND('今日提醒'!$B$2&gt;=$L86,'今日提醒'!$B$2&lt;=$M86,'今日提醒'!$B$2&gt;$S86),"收尾下滑",IF(AND('今日提醒'!$B$2&gt;=$L86,'今日提醒'!$B$2&lt;=$M86),"节点进行中",IF(AND('今日提醒'!$B$2&gt;$M86,'今日提醒'!$B$2&lt;=$S86),"节后清尾",IF(AND('今日提醒'!$B$2&gt;=$R86,'今日提醒'!$B$2&lt;=$S86),"高频跟进",IF(AND('今日提醒'!$B$2&gt;=($R86-14),'今日提醒'!$B$2&lt;$R86,'今日提醒'!$B$2&lt;$L86),"临近高频",IF(AND(OR($A86="Chinese New Year",$A86="Super Bowl",$A86="Valentine's Day",$A86="Valentine Week",$A86="St. Patrick's Day",$A86="Easter",$A86="Graduation Season",$A86="Prom Season",$A86="Teacher Appreciation Week",$A86="Mother's Day",$A86="Memorial Day",$A86="Father's Day",$A86="Independence Day",$A86="Back-to-School Season",$A86="Labor Day",$A86="Halloween",$A86="Thanksgiving",$A86="Black Friday / Cyber Monday",$A86="Christmas",$A86="New Year's Eve / New Year Season"),'今日提醒'!$B$2&gt;=($R86-30),'今日提醒'!$B$2&lt;$R86,'今日提醒'!$B$2&lt;$L86),"大节气提前",IF(AND('今日提醒'!$B$2&gt;=$P86,'今日提醒'!$B$2&lt;=$Q86),"二次排查",IF(AND(OR($A86="Chinese New Year",$A86="Super Bowl",$A86="Valentine's Day",$A86="Valentine Week",$A86="St. Patrick's Day",$A86="Easter",$A86="Graduation Season",$A86="Prom Season",$A86="Teacher Appreciation Week",$A86="Mother's Day",$A86="Memorial Day",$A86="Father's Day",$A86="Independence Day",$A86="Back-to-School Season",$A86="Labor Day",$A86="Halloween",$A86="Thanksgiving",$A86="Black Friday / Cyber Monday",$A86="Christmas",$A86="New Year's Eve / New Year Season"),'今日提醒'!$B$2&gt;=($P86-14),'今日提醒'!$B$2&lt;$P86,'今日提醒'!$B$2&lt;$L86),"临近二次",IF(AND('今日提醒'!$B$2&gt;=$N86,'今日提醒'!$B$2&lt;=$O86),"一次排查",IF('今日提醒'!$B$2&lt;$N86,"未到排查",IF('今日提醒'!$B$2&lt;$L86,"等待下一窗口","已过"))))))))))))</x:f>
        <x:v>未到排查</x:v>
      </x:c>
      <x:c r="K86" s="41" t="str">
        <x:f>IF($J86="收尾下滑","主购买/高频窗口已过，流量可能走弱：不要盲目加预算或新建组；优先看库存压力、ACOS、广告占比、自然单，仅保留高转化词，计算清货/留仓。",IF($J86="节后清尾","节点已过但仍在清尾窗口：控低效词、降无效预算，复盘转化词；库存重则算清货，库存轻则吃完尾流。",IF($J86="节点当日","今天就是节点当日：优先看转化、库存承接、广告花费和尾流风险；可以吃最后一波有效流量，但不要再大范围新建或盲目加预算。",IF($J86="节点进行中","当前在节点/销售窗口内：这是进行中，不是预热；重点看销量、库存承接、广告花费、转化和是否已出现流量下滑。",IF($J86="高频跟进","今天在高频跟进窗口：头部SKU每日看；重点看高库存、高花费、断货风险和ACOS。",IF($J86="临近高频","高频窗口即将开始：今天先预查广告结构、关键词/ASIN、Listing埋词、库存承接和预算，避免临近节点再补。",IF($J86="大节气提前","大节气提前窗口：不要等高频当天再动；今天先锁定主推SKU、库存承接、Listing节日词、广告结构和预算上限，低相关/低库存产品不硬推。",IF($J86="二次排查","今天在二次排查窗口：补广告结构、关键词/ASIN、预算和Listing埋词。",IF($J86="临近二次","大节气二次排查即将开始：提前准备词/ASIN/图片/价格/促销，不等窗口当天才补结构。",IF($J86="一次排查","今天在一次排查窗口：先筛SKU，看历史动销、库存、利润和Listing匹配。",IF($J86="未到排查","暂不处理，等一次排查窗口。",IF($J86="等待下一窗口","暂不在排查窗口；等高频或节点开始，除非有库存/广告异常。","已过：复盘、降投、清尾或沉淀明年节点。"))))))))))))</x:f>
        <x:v>暂不处理，等一次排查窗口。</x:v>
      </x:c>
      <x:c r="L86" s="42" t="n">
        <x:v>46278</x:v>
      </x:c>
      <x:c r="M86" s="42" t="n">
        <x:v>46284</x:v>
      </x:c>
      <x:c r="N86" s="42" t="n">
        <x:v>46203</x:v>
      </x:c>
      <x:c r="O86" s="42" t="n">
        <x:v>46218</x:v>
      </x:c>
      <x:c r="P86" s="42" t="n">
        <x:v>46238</x:v>
      </x:c>
      <x:c r="Q86" s="42" t="n">
        <x:v>46248</x:v>
      </x:c>
      <x:c r="R86" s="42" t="n">
        <x:v>46264</x:v>
      </x:c>
      <x:c r="S86" s="42" t="n">
        <x:v>46284</x:v>
      </x:c>
      <x:c r="T86" s="43" t="n">
        <x:f>$L86-'今日提醒'!$B$2</x:f>
        <x:v>111</x:v>
      </x:c>
      <x:c r="U86" s="74" t="n">
        <x:f>IF(OR($J86="收尾下滑",$J86="节后清尾",$J86="节点当日",$J86="节点进行中",$J86="高频跟进",$J86="临近高频",$J86="大节气提前",$J86="二次排查",$J86="临近二次",$J86="一次排查"),IF($J86="收尾下滑",1,IF($J86="节后清尾",2,IF($J86="节点当日",3,IF($J86="节点进行中",4,IF($J86="高频跟进",5,IF($J86="临近高频",6,IF($J86="大节气提前",7,IF($J86="二次排查",8,IF($J86="临近二次",9,10)))))))))*100000+ROW(),99999999+ROW())</x:f>
        <x:v>100000085</x:v>
      </x:c>
      <x:c r="V86" s="15" t="str">
        <x:f>IF(OR($J86="收尾下滑",$J86="节后清尾"),"风险/止损",IF($J86="节点当日","机会/当日冲刺",IF($J86="节点进行中","机会/进行中",IF($J86="高频跟进","机会/高频",IF($J86="大节气提前","机会/大节气提前",IF(OR($J86="临近高频",$J86="临近二次",$J86="二次排查",$J86="一次排查"),"机会/预热","非今日"))))))</x:f>
        <x:v>非今日</x:v>
      </x:c>
      <x:c r="W86" s="15" t="str">
        <x:f>IF($J86="收尾下滑","控投/清尾/算留仓",IF($J86="节后清尾","节后降投/复盘",IF($J86="节点当日","当日冲刺/控尾流",IF($J86="节点进行中","转化监控/看趋势",IF($J86="高频跟进","放量+控ACOS",IF($J86="大节气提前","提前锁结构/预算",IF($J86="临近高频","预查结构/埋词",IF($J86="临近二次","提前补结构/埋词",IF($J86="二次排查","补结构/补词",IF($J86="一次排查","筛SKU/核库存","暂无"))))))))))</x:f>
        <x:v>暂无</x:v>
      </x:c>
      <x:c r="X86" s="15" t="str">
        <x:f>IF(AND('今日提醒'!$B$2&gt;=$L86,'今日提醒'!$B$2&lt;=$M86,$L86=$M86),"节点当日：不是预热",IF(AND('今日提醒'!$B$2&gt;=$L86,'今日提醒'!$B$2&lt;=$M86,'今日提醒'!$B$2&gt;$S86),"高频已结束但销售窗口未结束：疑似尾期/下滑",IF(AND('今日提醒'!$B$2&gt;$M86,'今日提醒'!$B$2&lt;=$S86),"节点已过但仍在清尾窗口",IF($J86="大节气提前","大节气高频前30天：提前进入主推准备",IF($J86="临近二次","大节气二次排查前14天：提前准备","")))))</x:f>
      </x:c>
    </x:row>
    <x:row r="87" ht="58" hidden="0" customHeight="1">
      <x:c r="A87" s="41" t="str">
        <x:v>Environmental Services Week</x:v>
      </x:c>
      <x:c r="B87" s="41" t="str">
        <x:v>环境服务/医院保洁周</x:v>
      </x:c>
      <x:c r="C87" s="41" t="str">
        <x:v>医疗机构EVS团队感谢节点，适合EVS、housekeeping、thank you mug等。</x:v>
      </x:c>
      <x:c r="D87" s="41" t="str">
        <x:v>2026-09-13 ~ 2026-09-19</x:v>
      </x:c>
      <x:c r="E87" s="41" t="str">
        <x:v>每年变动</x:v>
      </x:c>
      <x:c r="F87" s="41" t="str">
        <x:v>hospital staff gifts、healthcare worker bulk gifts、感谢卡/钥匙扣</x:v>
      </x:c>
      <x:c r="G87" s="41" t="str">
        <x:v>2026-06-30 ~ 2026-07-15：按职业词筛SKU，核库存、历史动销和礼品适配。</x:v>
      </x:c>
      <x:c r="H87" s="41" t="str">
        <x:v>2026-08-04 ~ 2026-08-14：建/补广告组，补关键词/ASIN，处理低效流量。</x:v>
      </x:c>
      <x:c r="I87" s="41" t="str">
        <x:v>2026-08-30 ~ 2026-09-19：高库存/高花费SKU每日看，其余2-3天看。</x:v>
      </x:c>
      <x:c r="J87" s="41" t="str">
        <x:f>IF(AND('今日提醒'!$B$2&gt;=$L87,'今日提醒'!$B$2&lt;=$M87,$L87=$M87),"节点当日",IF(AND('今日提醒'!$B$2&gt;=$L87,'今日提醒'!$B$2&lt;=$M87,'今日提醒'!$B$2&gt;$S87),"收尾下滑",IF(AND('今日提醒'!$B$2&gt;=$L87,'今日提醒'!$B$2&lt;=$M87),"节点进行中",IF(AND('今日提醒'!$B$2&gt;$M87,'今日提醒'!$B$2&lt;=$S87),"节后清尾",IF(AND('今日提醒'!$B$2&gt;=$R87,'今日提醒'!$B$2&lt;=$S87),"高频跟进",IF(AND('今日提醒'!$B$2&gt;=($R87-14),'今日提醒'!$B$2&lt;$R87,'今日提醒'!$B$2&lt;$L87),"临近高频",IF(AND(OR($A87="Chinese New Year",$A87="Super Bowl",$A87="Valentine's Day",$A87="Valentine Week",$A87="St. Patrick's Day",$A87="Easter",$A87="Graduation Season",$A87="Prom Season",$A87="Teacher Appreciation Week",$A87="Mother's Day",$A87="Memorial Day",$A87="Father's Day",$A87="Independence Day",$A87="Back-to-School Season",$A87="Labor Day",$A87="Halloween",$A87="Thanksgiving",$A87="Black Friday / Cyber Monday",$A87="Christmas",$A87="New Year's Eve / New Year Season"),'今日提醒'!$B$2&gt;=($R87-30),'今日提醒'!$B$2&lt;$R87,'今日提醒'!$B$2&lt;$L87),"大节气提前",IF(AND('今日提醒'!$B$2&gt;=$P87,'今日提醒'!$B$2&lt;=$Q87),"二次排查",IF(AND(OR($A87="Chinese New Year",$A87="Super Bowl",$A87="Valentine's Day",$A87="Valentine Week",$A87="St. Patrick's Day",$A87="Easter",$A87="Graduation Season",$A87="Prom Season",$A87="Teacher Appreciation Week",$A87="Mother's Day",$A87="Memorial Day",$A87="Father's Day",$A87="Independence Day",$A87="Back-to-School Season",$A87="Labor Day",$A87="Halloween",$A87="Thanksgiving",$A87="Black Friday / Cyber Monday",$A87="Christmas",$A87="New Year's Eve / New Year Season"),'今日提醒'!$B$2&gt;=($P87-14),'今日提醒'!$B$2&lt;$P87,'今日提醒'!$B$2&lt;$L87),"临近二次",IF(AND('今日提醒'!$B$2&gt;=$N87,'今日提醒'!$B$2&lt;=$O87),"一次排查",IF('今日提醒'!$B$2&lt;$N87,"未到排查",IF('今日提醒'!$B$2&lt;$L87,"等待下一窗口","已过"))))))))))))</x:f>
        <x:v>未到排查</x:v>
      </x:c>
      <x:c r="K87" s="41" t="str">
        <x:f>IF($J87="收尾下滑","主购买/高频窗口已过，流量可能走弱：不要盲目加预算或新建组；优先看库存压力、ACOS、广告占比、自然单，仅保留高转化词，计算清货/留仓。",IF($J87="节后清尾","节点已过但仍在清尾窗口：控低效词、降无效预算，复盘转化词；库存重则算清货，库存轻则吃完尾流。",IF($J87="节点当日","今天就是节点当日：优先看转化、库存承接、广告花费和尾流风险；可以吃最后一波有效流量，但不要再大范围新建或盲目加预算。",IF($J87="节点进行中","当前在节点/销售窗口内：这是进行中，不是预热；重点看销量、库存承接、广告花费、转化和是否已出现流量下滑。",IF($J87="高频跟进","今天在高频跟进窗口：头部SKU每日看；重点看高库存、高花费、断货风险和ACOS。",IF($J87="临近高频","高频窗口即将开始：今天先预查广告结构、关键词/ASIN、Listing埋词、库存承接和预算，避免临近节点再补。",IF($J87="大节气提前","大节气提前窗口：不要等高频当天再动；今天先锁定主推SKU、库存承接、Listing节日词、广告结构和预算上限，低相关/低库存产品不硬推。",IF($J87="二次排查","今天在二次排查窗口：补广告结构、关键词/ASIN、预算和Listing埋词。",IF($J87="临近二次","大节气二次排查即将开始：提前准备词/ASIN/图片/价格/促销，不等窗口当天才补结构。",IF($J87="一次排查","今天在一次排查窗口：先筛SKU，看历史动销、库存、利润和Listing匹配。",IF($J87="未到排查","暂不处理，等一次排查窗口。",IF($J87="等待下一窗口","暂不在排查窗口；等高频或节点开始，除非有库存/广告异常。","已过：复盘、降投、清尾或沉淀明年节点。"))))))))))))</x:f>
        <x:v>暂不处理，等一次排查窗口。</x:v>
      </x:c>
      <x:c r="L87" s="42" t="n">
        <x:v>46278</x:v>
      </x:c>
      <x:c r="M87" s="42" t="n">
        <x:v>46284</x:v>
      </x:c>
      <x:c r="N87" s="42" t="n">
        <x:v>46203</x:v>
      </x:c>
      <x:c r="O87" s="42" t="n">
        <x:v>46218</x:v>
      </x:c>
      <x:c r="P87" s="42" t="n">
        <x:v>46238</x:v>
      </x:c>
      <x:c r="Q87" s="42" t="n">
        <x:v>46248</x:v>
      </x:c>
      <x:c r="R87" s="42" t="n">
        <x:v>46264</x:v>
      </x:c>
      <x:c r="S87" s="42" t="n">
        <x:v>46284</x:v>
      </x:c>
      <x:c r="T87" s="43" t="n">
        <x:f>$L87-'今日提醒'!$B$2</x:f>
        <x:v>111</x:v>
      </x:c>
      <x:c r="U87" s="74" t="n">
        <x:f>IF(OR($J87="收尾下滑",$J87="节后清尾",$J87="节点当日",$J87="节点进行中",$J87="高频跟进",$J87="临近高频",$J87="大节气提前",$J87="二次排查",$J87="临近二次",$J87="一次排查"),IF($J87="收尾下滑",1,IF($J87="节后清尾",2,IF($J87="节点当日",3,IF($J87="节点进行中",4,IF($J87="高频跟进",5,IF($J87="临近高频",6,IF($J87="大节气提前",7,IF($J87="二次排查",8,IF($J87="临近二次",9,10)))))))))*100000+ROW(),99999999+ROW())</x:f>
        <x:v>100000086</x:v>
      </x:c>
      <x:c r="V87" s="15" t="str">
        <x:f>IF(OR($J87="收尾下滑",$J87="节后清尾"),"风险/止损",IF($J87="节点当日","机会/当日冲刺",IF($J87="节点进行中","机会/进行中",IF($J87="高频跟进","机会/高频",IF($J87="大节气提前","机会/大节气提前",IF(OR($J87="临近高频",$J87="临近二次",$J87="二次排查",$J87="一次排查"),"机会/预热","非今日"))))))</x:f>
        <x:v>非今日</x:v>
      </x:c>
      <x:c r="W87" s="15" t="str">
        <x:f>IF($J87="收尾下滑","控投/清尾/算留仓",IF($J87="节后清尾","节后降投/复盘",IF($J87="节点当日","当日冲刺/控尾流",IF($J87="节点进行中","转化监控/看趋势",IF($J87="高频跟进","放量+控ACOS",IF($J87="大节气提前","提前锁结构/预算",IF($J87="临近高频","预查结构/埋词",IF($J87="临近二次","提前补结构/埋词",IF($J87="二次排查","补结构/补词",IF($J87="一次排查","筛SKU/核库存","暂无"))))))))))</x:f>
        <x:v>暂无</x:v>
      </x:c>
      <x:c r="X87" s="15" t="str">
        <x:f>IF(AND('今日提醒'!$B$2&gt;=$L87,'今日提醒'!$B$2&lt;=$M87,$L87=$M87),"节点当日：不是预热",IF(AND('今日提醒'!$B$2&gt;=$L87,'今日提醒'!$B$2&lt;=$M87,'今日提醒'!$B$2&gt;$S87),"高频已结束但销售窗口未结束：疑似尾期/下滑",IF(AND('今日提醒'!$B$2&gt;$M87,'今日提醒'!$B$2&lt;=$S87),"节点已过但仍在清尾窗口",IF($J87="大节气提前","大节气高频前30天：提前进入主推准备",IF($J87="临近二次","大节气二次排查前14天：提前准备","")))))</x:f>
      </x:c>
    </x:row>
    <x:row r="88" ht="58" hidden="0" customHeight="1">
      <x:c r="A88" s="41" t="str">
        <x:v>Truck Driver Appreciation Week</x:v>
      </x:c>
      <x:c r="B88" s="41" t="str">
        <x:v>卡车司机感谢周</x:v>
      </x:c>
      <x:c r="C88" s="41" t="str">
        <x:v>表彰卡车司机和物流从业者，适合driver appreciation礼品。</x:v>
      </x:c>
      <x:c r="D88" s="41" t="str">
        <x:v>2026-09-13 ~ 2026-09-19</x:v>
      </x:c>
      <x:c r="E88" s="41" t="str">
        <x:v>每年变动</x:v>
      </x:c>
      <x:c r="F88" s="41" t="str">
        <x:v>truck driver gifts、trucker keychain、道路/卡车元素小礼</x:v>
      </x:c>
      <x:c r="G88" s="41" t="str">
        <x:v>2026-06-30 ~ 2026-07-15：按职业词筛SKU，核库存、历史动销和礼品适配。</x:v>
      </x:c>
      <x:c r="H88" s="41" t="str">
        <x:v>2026-08-04 ~ 2026-08-14：建/补广告组，补关键词/ASIN，处理低效流量。</x:v>
      </x:c>
      <x:c r="I88" s="41" t="str">
        <x:v>2026-08-30 ~ 2026-09-19：高库存/高花费SKU每日看，其余2-3天看。</x:v>
      </x:c>
      <x:c r="J88" s="41" t="str">
        <x:f>IF(AND('今日提醒'!$B$2&gt;=$L88,'今日提醒'!$B$2&lt;=$M88,$L88=$M88),"节点当日",IF(AND('今日提醒'!$B$2&gt;=$L88,'今日提醒'!$B$2&lt;=$M88,'今日提醒'!$B$2&gt;$S88),"收尾下滑",IF(AND('今日提醒'!$B$2&gt;=$L88,'今日提醒'!$B$2&lt;=$M88),"节点进行中",IF(AND('今日提醒'!$B$2&gt;$M88,'今日提醒'!$B$2&lt;=$S88),"节后清尾",IF(AND('今日提醒'!$B$2&gt;=$R88,'今日提醒'!$B$2&lt;=$S88),"高频跟进",IF(AND('今日提醒'!$B$2&gt;=($R88-14),'今日提醒'!$B$2&lt;$R88,'今日提醒'!$B$2&lt;$L88),"临近高频",IF(AND(OR($A88="Chinese New Year",$A88="Super Bowl",$A88="Valentine's Day",$A88="Valentine Week",$A88="St. Patrick's Day",$A88="Easter",$A88="Graduation Season",$A88="Prom Season",$A88="Teacher Appreciation Week",$A88="Mother's Day",$A88="Memorial Day",$A88="Father's Day",$A88="Independence Day",$A88="Back-to-School Season",$A88="Labor Day",$A88="Halloween",$A88="Thanksgiving",$A88="Black Friday / Cyber Monday",$A88="Christmas",$A88="New Year's Eve / New Year Season"),'今日提醒'!$B$2&gt;=($R88-30),'今日提醒'!$B$2&lt;$R88,'今日提醒'!$B$2&lt;$L88),"大节气提前",IF(AND('今日提醒'!$B$2&gt;=$P88,'今日提醒'!$B$2&lt;=$Q88),"二次排查",IF(AND(OR($A88="Chinese New Year",$A88="Super Bowl",$A88="Valentine's Day",$A88="Valentine Week",$A88="St. Patrick's Day",$A88="Easter",$A88="Graduation Season",$A88="Prom Season",$A88="Teacher Appreciation Week",$A88="Mother's Day",$A88="Memorial Day",$A88="Father's Day",$A88="Independence Day",$A88="Back-to-School Season",$A88="Labor Day",$A88="Halloween",$A88="Thanksgiving",$A88="Black Friday / Cyber Monday",$A88="Christmas",$A88="New Year's Eve / New Year Season"),'今日提醒'!$B$2&gt;=($P88-14),'今日提醒'!$B$2&lt;$P88,'今日提醒'!$B$2&lt;$L88),"临近二次",IF(AND('今日提醒'!$B$2&gt;=$N88,'今日提醒'!$B$2&lt;=$O88),"一次排查",IF('今日提醒'!$B$2&lt;$N88,"未到排查",IF('今日提醒'!$B$2&lt;$L88,"等待下一窗口","已过"))))))))))))</x:f>
        <x:v>未到排查</x:v>
      </x:c>
      <x:c r="K88" s="41" t="str">
        <x:f>IF($J88="收尾下滑","主购买/高频窗口已过，流量可能走弱：不要盲目加预算或新建组；优先看库存压力、ACOS、广告占比、自然单，仅保留高转化词，计算清货/留仓。",IF($J88="节后清尾","节点已过但仍在清尾窗口：控低效词、降无效预算，复盘转化词；库存重则算清货，库存轻则吃完尾流。",IF($J88="节点当日","今天就是节点当日：优先看转化、库存承接、广告花费和尾流风险；可以吃最后一波有效流量，但不要再大范围新建或盲目加预算。",IF($J88="节点进行中","当前在节点/销售窗口内：这是进行中，不是预热；重点看销量、库存承接、广告花费、转化和是否已出现流量下滑。",IF($J88="高频跟进","今天在高频跟进窗口：头部SKU每日看；重点看高库存、高花费、断货风险和ACOS。",IF($J88="临近高频","高频窗口即将开始：今天先预查广告结构、关键词/ASIN、Listing埋词、库存承接和预算，避免临近节点再补。",IF($J88="大节气提前","大节气提前窗口：不要等高频当天再动；今天先锁定主推SKU、库存承接、Listing节日词、广告结构和预算上限，低相关/低库存产品不硬推。",IF($J88="二次排查","今天在二次排查窗口：补广告结构、关键词/ASIN、预算和Listing埋词。",IF($J88="临近二次","大节气二次排查即将开始：提前准备词/ASIN/图片/价格/促销，不等窗口当天才补结构。",IF($J88="一次排查","今天在一次排查窗口：先筛SKU，看历史动销、库存、利润和Listing匹配。",IF($J88="未到排查","暂不处理，等一次排查窗口。",IF($J88="等待下一窗口","暂不在排查窗口；等高频或节点开始，除非有库存/广告异常。","已过：复盘、降投、清尾或沉淀明年节点。"))))))))))))</x:f>
        <x:v>暂不处理，等一次排查窗口。</x:v>
      </x:c>
      <x:c r="L88" s="42" t="n">
        <x:v>46278</x:v>
      </x:c>
      <x:c r="M88" s="42" t="n">
        <x:v>46284</x:v>
      </x:c>
      <x:c r="N88" s="42" t="n">
        <x:v>46203</x:v>
      </x:c>
      <x:c r="O88" s="42" t="n">
        <x:v>46218</x:v>
      </x:c>
      <x:c r="P88" s="42" t="n">
        <x:v>46238</x:v>
      </x:c>
      <x:c r="Q88" s="42" t="n">
        <x:v>46248</x:v>
      </x:c>
      <x:c r="R88" s="42" t="n">
        <x:v>46264</x:v>
      </x:c>
      <x:c r="S88" s="42" t="n">
        <x:v>46284</x:v>
      </x:c>
      <x:c r="T88" s="43" t="n">
        <x:f>$L88-'今日提醒'!$B$2</x:f>
        <x:v>111</x:v>
      </x:c>
      <x:c r="U88" s="74" t="n">
        <x:f>IF(OR($J88="收尾下滑",$J88="节后清尾",$J88="节点当日",$J88="节点进行中",$J88="高频跟进",$J88="临近高频",$J88="大节气提前",$J88="二次排查",$J88="临近二次",$J88="一次排查"),IF($J88="收尾下滑",1,IF($J88="节后清尾",2,IF($J88="节点当日",3,IF($J88="节点进行中",4,IF($J88="高频跟进",5,IF($J88="临近高频",6,IF($J88="大节气提前",7,IF($J88="二次排查",8,IF($J88="临近二次",9,10)))))))))*100000+ROW(),99999999+ROW())</x:f>
        <x:v>100000087</x:v>
      </x:c>
      <x:c r="V88" s="15" t="str">
        <x:f>IF(OR($J88="收尾下滑",$J88="节后清尾"),"风险/止损",IF($J88="节点当日","机会/当日冲刺",IF($J88="节点进行中","机会/进行中",IF($J88="高频跟进","机会/高频",IF($J88="大节气提前","机会/大节气提前",IF(OR($J88="临近高频",$J88="临近二次",$J88="二次排查",$J88="一次排查"),"机会/预热","非今日"))))))</x:f>
        <x:v>非今日</x:v>
      </x:c>
      <x:c r="W88" s="15" t="str">
        <x:f>IF($J88="收尾下滑","控投/清尾/算留仓",IF($J88="节后清尾","节后降投/复盘",IF($J88="节点当日","当日冲刺/控尾流",IF($J88="节点进行中","转化监控/看趋势",IF($J88="高频跟进","放量+控ACOS",IF($J88="大节气提前","提前锁结构/预算",IF($J88="临近高频","预查结构/埋词",IF($J88="临近二次","提前补结构/埋词",IF($J88="二次排查","补结构/补词",IF($J88="一次排查","筛SKU/核库存","暂无"))))))))))</x:f>
        <x:v>暂无</x:v>
      </x:c>
      <x:c r="X88" s="15" t="str">
        <x:f>IF(AND('今日提醒'!$B$2&gt;=$L88,'今日提醒'!$B$2&lt;=$M88,$L88=$M88),"节点当日：不是预热",IF(AND('今日提醒'!$B$2&gt;=$L88,'今日提醒'!$B$2&lt;=$M88,'今日提醒'!$B$2&gt;$S88),"高频已结束但销售窗口未结束：疑似尾期/下滑",IF(AND('今日提醒'!$B$2&gt;$M88,'今日提醒'!$B$2&lt;=$S88),"节点已过但仍在清尾窗口",IF($J88="大节气提前","大节气高频前30天：提前进入主推准备",IF($J88="临近二次","大节气二次排查前14天：提前准备","")))))</x:f>
      </x:c>
    </x:row>
    <x:row r="89" ht="58" hidden="0" customHeight="1">
      <x:c r="A89" s="41" t="str">
        <x:v>Hispanic Heritage Month</x:v>
      </x:c>
      <x:c r="B89" s="41" t="str">
        <x:v>西班牙裔传统月</x:v>
      </x:c>
      <x:c r="C89" s="41" t="str">
        <x:v>庆祝西班牙裔美国人的历史、文化与贡献，适合Spanish gifts、Latina gifts、文化教育主题。</x:v>
      </x:c>
      <x:c r="D89" s="41" t="str">
        <x:v>2026-09-15 ~ 2026-10-15</x:v>
      </x:c>
      <x:c r="E89" s="41" t="str">
        <x:v>固定区间</x:v>
      </x:c>
      <x:c r="F89" s="41" t="str">
        <x:v>意识/支持类产品：丝带、手链、鼓励卡、贴纸；敏感节点商业化要克制</x:v>
      </x:c>
      <x:c r="G89" s="41" t="str">
        <x:v>2026-06-17 ~ 2026-07-02：先确认产品真实匹配，避免硬蹭敏感议题。</x:v>
      </x:c>
      <x:c r="H89" s="41" t="str">
        <x:v>2026-08-01 ~ 2026-08-11：检查图片/文案/关键词是否克制且合规。</x:v>
      </x:c>
      <x:c r="I89" s="41" t="str">
        <x:v>2026-09-01 ~ 2026-09-30：每2-3天看；表现差或表达风险高就停。</x:v>
      </x:c>
      <x:c r="J89" s="41" t="str">
        <x:f>IF(AND('今日提醒'!$B$2&gt;=$L89,'今日提醒'!$B$2&lt;=$M89,$L89=$M89),"节点当日",IF(AND('今日提醒'!$B$2&gt;=$L89,'今日提醒'!$B$2&lt;=$M89,'今日提醒'!$B$2&gt;$S89),"收尾下滑",IF(AND('今日提醒'!$B$2&gt;=$L89,'今日提醒'!$B$2&lt;=$M89),"节点进行中",IF(AND('今日提醒'!$B$2&gt;$M89,'今日提醒'!$B$2&lt;=$S89),"节后清尾",IF(AND('今日提醒'!$B$2&gt;=$R89,'今日提醒'!$B$2&lt;=$S89),"高频跟进",IF(AND('今日提醒'!$B$2&gt;=($R89-14),'今日提醒'!$B$2&lt;$R89,'今日提醒'!$B$2&lt;$L89),"临近高频",IF(AND(OR($A89="Chinese New Year",$A89="Super Bowl",$A89="Valentine's Day",$A89="Valentine Week",$A89="St. Patrick's Day",$A89="Easter",$A89="Graduation Season",$A89="Prom Season",$A89="Teacher Appreciation Week",$A89="Mother's Day",$A89="Memorial Day",$A89="Father's Day",$A89="Independence Day",$A89="Back-to-School Season",$A89="Labor Day",$A89="Halloween",$A89="Thanksgiving",$A89="Black Friday / Cyber Monday",$A89="Christmas",$A89="New Year's Eve / New Year Season"),'今日提醒'!$B$2&gt;=($R89-30),'今日提醒'!$B$2&lt;$R89,'今日提醒'!$B$2&lt;$L89),"大节气提前",IF(AND('今日提醒'!$B$2&gt;=$P89,'今日提醒'!$B$2&lt;=$Q89),"二次排查",IF(AND(OR($A89="Chinese New Year",$A89="Super Bowl",$A89="Valentine's Day",$A89="Valentine Week",$A89="St. Patrick's Day",$A89="Easter",$A89="Graduation Season",$A89="Prom Season",$A89="Teacher Appreciation Week",$A89="Mother's Day",$A89="Memorial Day",$A89="Father's Day",$A89="Independence Day",$A89="Back-to-School Season",$A89="Labor Day",$A89="Halloween",$A89="Thanksgiving",$A89="Black Friday / Cyber Monday",$A89="Christmas",$A89="New Year's Eve / New Year Season"),'今日提醒'!$B$2&gt;=($P89-14),'今日提醒'!$B$2&lt;$P89,'今日提醒'!$B$2&lt;$L89),"临近二次",IF(AND('今日提醒'!$B$2&gt;=$N89,'今日提醒'!$B$2&lt;=$O89),"一次排查",IF('今日提醒'!$B$2&lt;$N89,"未到排查",IF('今日提醒'!$B$2&lt;$L89,"等待下一窗口","已过"))))))))))))</x:f>
        <x:v>未到排查</x:v>
      </x:c>
      <x:c r="K89" s="41" t="str">
        <x:f>IF($J89="收尾下滑","主购买/高频窗口已过，流量可能走弱：不要盲目加预算或新建组；优先看库存压力、ACOS、广告占比、自然单，仅保留高转化词，计算清货/留仓。",IF($J89="节后清尾","节点已过但仍在清尾窗口：控低效词、降无效预算，复盘转化词；库存重则算清货，库存轻则吃完尾流。",IF($J89="节点当日","今天就是节点当日：优先看转化、库存承接、广告花费和尾流风险；可以吃最后一波有效流量，但不要再大范围新建或盲目加预算。",IF($J89="节点进行中","当前在节点/销售窗口内：这是进行中，不是预热；重点看销量、库存承接、广告花费、转化和是否已出现流量下滑。",IF($J89="高频跟进","今天在高频跟进窗口：头部SKU每日看；重点看高库存、高花费、断货风险和ACOS。",IF($J89="临近高频","高频窗口即将开始：今天先预查广告结构、关键词/ASIN、Listing埋词、库存承接和预算，避免临近节点再补。",IF($J89="大节气提前","大节气提前窗口：不要等高频当天再动；今天先锁定主推SKU、库存承接、Listing节日词、广告结构和预算上限，低相关/低库存产品不硬推。",IF($J89="二次排查","今天在二次排查窗口：补广告结构、关键词/ASIN、预算和Listing埋词。",IF($J89="临近二次","大节气二次排查即将开始：提前准备词/ASIN/图片/价格/促销，不等窗口当天才补结构。",IF($J89="一次排查","今天在一次排查窗口：先筛SKU，看历史动销、库存、利润和Listing匹配。",IF($J89="未到排查","暂不处理，等一次排查窗口。",IF($J89="等待下一窗口","暂不在排查窗口；等高频或节点开始，除非有库存/广告异常。","已过：复盘、降投、清尾或沉淀明年节点。"))))))))))))</x:f>
        <x:v>暂不处理，等一次排查窗口。</x:v>
      </x:c>
      <x:c r="L89" s="42" t="n">
        <x:v>46280</x:v>
      </x:c>
      <x:c r="M89" s="42" t="n">
        <x:v>46310</x:v>
      </x:c>
      <x:c r="N89" s="42" t="n">
        <x:v>46190</x:v>
      </x:c>
      <x:c r="O89" s="42" t="n">
        <x:v>46205</x:v>
      </x:c>
      <x:c r="P89" s="42" t="n">
        <x:v>46235</x:v>
      </x:c>
      <x:c r="Q89" s="42" t="n">
        <x:v>46245</x:v>
      </x:c>
      <x:c r="R89" s="42" t="n">
        <x:v>46266</x:v>
      </x:c>
      <x:c r="S89" s="42" t="n">
        <x:v>46295</x:v>
      </x:c>
      <x:c r="T89" s="43" t="n">
        <x:f>$L89-'今日提醒'!$B$2</x:f>
        <x:v>113</x:v>
      </x:c>
      <x:c r="U89" s="74" t="n">
        <x:f>IF(OR($J89="收尾下滑",$J89="节后清尾",$J89="节点当日",$J89="节点进行中",$J89="高频跟进",$J89="临近高频",$J89="大节气提前",$J89="二次排查",$J89="临近二次",$J89="一次排查"),IF($J89="收尾下滑",1,IF($J89="节后清尾",2,IF($J89="节点当日",3,IF($J89="节点进行中",4,IF($J89="高频跟进",5,IF($J89="临近高频",6,IF($J89="大节气提前",7,IF($J89="二次排查",8,IF($J89="临近二次",9,10)))))))))*100000+ROW(),99999999+ROW())</x:f>
        <x:v>100000088</x:v>
      </x:c>
      <x:c r="V89" s="15" t="str">
        <x:f>IF(OR($J89="收尾下滑",$J89="节后清尾"),"风险/止损",IF($J89="节点当日","机会/当日冲刺",IF($J89="节点进行中","机会/进行中",IF($J89="高频跟进","机会/高频",IF($J89="大节气提前","机会/大节气提前",IF(OR($J89="临近高频",$J89="临近二次",$J89="二次排查",$J89="一次排查"),"机会/预热","非今日"))))))</x:f>
        <x:v>非今日</x:v>
      </x:c>
      <x:c r="W89" s="15" t="str">
        <x:f>IF($J89="收尾下滑","控投/清尾/算留仓",IF($J89="节后清尾","节后降投/复盘",IF($J89="节点当日","当日冲刺/控尾流",IF($J89="节点进行中","转化监控/看趋势",IF($J89="高频跟进","放量+控ACOS",IF($J89="大节气提前","提前锁结构/预算",IF($J89="临近高频","预查结构/埋词",IF($J89="临近二次","提前补结构/埋词",IF($J89="二次排查","补结构/补词",IF($J89="一次排查","筛SKU/核库存","暂无"))))))))))</x:f>
        <x:v>暂无</x:v>
      </x:c>
      <x:c r="X89" s="15" t="str">
        <x:f>IF(AND('今日提醒'!$B$2&gt;=$L89,'今日提醒'!$B$2&lt;=$M89,$L89=$M89),"节点当日：不是预热",IF(AND('今日提醒'!$B$2&gt;=$L89,'今日提醒'!$B$2&lt;=$M89,'今日提醒'!$B$2&gt;$S89),"高频已结束但销售窗口未结束：疑似尾期/下滑",IF(AND('今日提醒'!$B$2&gt;$M89,'今日提醒'!$B$2&lt;=$S89),"节点已过但仍在清尾窗口",IF($J89="大节气提前","大节气高频前30天：提前进入主推准备",IF($J89="临近二次","大节气二次排查前14天：提前准备","")))))</x:f>
      </x:c>
    </x:row>
    <x:row r="90" ht="58" hidden="0" customHeight="1">
      <x:c r="A90" s="41" t="str">
        <x:v>Rehab Week / National Rehabilitation Awareness Week</x:v>
      </x:c>
      <x:c r="B90" s="41" t="str">
        <x:v>康复周/康复意识周</x:v>
      </x:c>
      <x:c r="C90" s="41" t="str">
        <x:v>关注康复治疗与康复从业者，适合PT/OT/rehab团队礼品。</x:v>
      </x:c>
      <x:c r="D90" s="41" t="str">
        <x:v>2026-09-20 ~ 2026-09-26</x:v>
      </x:c>
      <x:c r="E90" s="41" t="str">
        <x:v>每年变动</x:v>
      </x:c>
      <x:c r="F90" s="41" t="str">
        <x:v>rehab/PT/OT therapy gifts、康复团队感谢礼</x:v>
      </x:c>
      <x:c r="G90" s="41" t="str">
        <x:v>2026-07-07 ~ 2026-07-22：按职业词筛SKU，核库存、历史动销和礼品适配。</x:v>
      </x:c>
      <x:c r="H90" s="41" t="str">
        <x:v>2026-08-11 ~ 2026-08-21：建/补广告组，补关键词/ASIN，处理低效流量。</x:v>
      </x:c>
      <x:c r="I90" s="41" t="str">
        <x:v>2026-09-06 ~ 2026-09-26：高库存/高花费SKU每日看，其余2-3天看。</x:v>
      </x:c>
      <x:c r="J90" s="41" t="str">
        <x:f>IF(AND('今日提醒'!$B$2&gt;=$L90,'今日提醒'!$B$2&lt;=$M90,$L90=$M90),"节点当日",IF(AND('今日提醒'!$B$2&gt;=$L90,'今日提醒'!$B$2&lt;=$M90,'今日提醒'!$B$2&gt;$S90),"收尾下滑",IF(AND('今日提醒'!$B$2&gt;=$L90,'今日提醒'!$B$2&lt;=$M90),"节点进行中",IF(AND('今日提醒'!$B$2&gt;$M90,'今日提醒'!$B$2&lt;=$S90),"节后清尾",IF(AND('今日提醒'!$B$2&gt;=$R90,'今日提醒'!$B$2&lt;=$S90),"高频跟进",IF(AND('今日提醒'!$B$2&gt;=($R90-14),'今日提醒'!$B$2&lt;$R90,'今日提醒'!$B$2&lt;$L90),"临近高频",IF(AND(OR($A90="Chinese New Year",$A90="Super Bowl",$A90="Valentine's Day",$A90="Valentine Week",$A90="St. Patrick's Day",$A90="Easter",$A90="Graduation Season",$A90="Prom Season",$A90="Teacher Appreciation Week",$A90="Mother's Day",$A90="Memorial Day",$A90="Father's Day",$A90="Independence Day",$A90="Back-to-School Season",$A90="Labor Day",$A90="Halloween",$A90="Thanksgiving",$A90="Black Friday / Cyber Monday",$A90="Christmas",$A90="New Year's Eve / New Year Season"),'今日提醒'!$B$2&gt;=($R90-30),'今日提醒'!$B$2&lt;$R90,'今日提醒'!$B$2&lt;$L90),"大节气提前",IF(AND('今日提醒'!$B$2&gt;=$P90,'今日提醒'!$B$2&lt;=$Q90),"二次排查",IF(AND(OR($A90="Chinese New Year",$A90="Super Bowl",$A90="Valentine's Day",$A90="Valentine Week",$A90="St. Patrick's Day",$A90="Easter",$A90="Graduation Season",$A90="Prom Season",$A90="Teacher Appreciation Week",$A90="Mother's Day",$A90="Memorial Day",$A90="Father's Day",$A90="Independence Day",$A90="Back-to-School Season",$A90="Labor Day",$A90="Halloween",$A90="Thanksgiving",$A90="Black Friday / Cyber Monday",$A90="Christmas",$A90="New Year's Eve / New Year Season"),'今日提醒'!$B$2&gt;=($P90-14),'今日提醒'!$B$2&lt;$P90,'今日提醒'!$B$2&lt;$L90),"临近二次",IF(AND('今日提醒'!$B$2&gt;=$N90,'今日提醒'!$B$2&lt;=$O90),"一次排查",IF('今日提醒'!$B$2&lt;$N90,"未到排查",IF('今日提醒'!$B$2&lt;$L90,"等待下一窗口","已过"))))))))))))</x:f>
        <x:v>未到排查</x:v>
      </x:c>
      <x:c r="K90" s="41" t="str">
        <x:f>IF($J90="收尾下滑","主购买/高频窗口已过，流量可能走弱：不要盲目加预算或新建组；优先看库存压力、ACOS、广告占比、自然单，仅保留高转化词，计算清货/留仓。",IF($J90="节后清尾","节点已过但仍在清尾窗口：控低效词、降无效预算，复盘转化词；库存重则算清货，库存轻则吃完尾流。",IF($J90="节点当日","今天就是节点当日：优先看转化、库存承接、广告花费和尾流风险；可以吃最后一波有效流量，但不要再大范围新建或盲目加预算。",IF($J90="节点进行中","当前在节点/销售窗口内：这是进行中，不是预热；重点看销量、库存承接、广告花费、转化和是否已出现流量下滑。",IF($J90="高频跟进","今天在高频跟进窗口：头部SKU每日看；重点看高库存、高花费、断货风险和ACOS。",IF($J90="临近高频","高频窗口即将开始：今天先预查广告结构、关键词/ASIN、Listing埋词、库存承接和预算，避免临近节点再补。",IF($J90="大节气提前","大节气提前窗口：不要等高频当天再动；今天先锁定主推SKU、库存承接、Listing节日词、广告结构和预算上限，低相关/低库存产品不硬推。",IF($J90="二次排查","今天在二次排查窗口：补广告结构、关键词/ASIN、预算和Listing埋词。",IF($J90="临近二次","大节气二次排查即将开始：提前准备词/ASIN/图片/价格/促销，不等窗口当天才补结构。",IF($J90="一次排查","今天在一次排查窗口：先筛SKU，看历史动销、库存、利润和Listing匹配。",IF($J90="未到排查","暂不处理，等一次排查窗口。",IF($J90="等待下一窗口","暂不在排查窗口；等高频或节点开始，除非有库存/广告异常。","已过：复盘、降投、清尾或沉淀明年节点。"))))))))))))</x:f>
        <x:v>暂不处理，等一次排查窗口。</x:v>
      </x:c>
      <x:c r="L90" s="42" t="n">
        <x:v>46285</x:v>
      </x:c>
      <x:c r="M90" s="42" t="n">
        <x:v>46291</x:v>
      </x:c>
      <x:c r="N90" s="42" t="n">
        <x:v>46210</x:v>
      </x:c>
      <x:c r="O90" s="42" t="n">
        <x:v>46225</x:v>
      </x:c>
      <x:c r="P90" s="42" t="n">
        <x:v>46245</x:v>
      </x:c>
      <x:c r="Q90" s="42" t="n">
        <x:v>46255</x:v>
      </x:c>
      <x:c r="R90" s="42" t="n">
        <x:v>46271</x:v>
      </x:c>
      <x:c r="S90" s="42" t="n">
        <x:v>46291</x:v>
      </x:c>
      <x:c r="T90" s="43" t="n">
        <x:f>$L90-'今日提醒'!$B$2</x:f>
        <x:v>118</x:v>
      </x:c>
      <x:c r="U90" s="74" t="n">
        <x:f>IF(OR($J90="收尾下滑",$J90="节后清尾",$J90="节点当日",$J90="节点进行中",$J90="高频跟进",$J90="临近高频",$J90="大节气提前",$J90="二次排查",$J90="临近二次",$J90="一次排查"),IF($J90="收尾下滑",1,IF($J90="节后清尾",2,IF($J90="节点当日",3,IF($J90="节点进行中",4,IF($J90="高频跟进",5,IF($J90="临近高频",6,IF($J90="大节气提前",7,IF($J90="二次排查",8,IF($J90="临近二次",9,10)))))))))*100000+ROW(),99999999+ROW())</x:f>
        <x:v>100000089</x:v>
      </x:c>
      <x:c r="V90" s="15" t="str">
        <x:f>IF(OR($J90="收尾下滑",$J90="节后清尾"),"风险/止损",IF($J90="节点当日","机会/当日冲刺",IF($J90="节点进行中","机会/进行中",IF($J90="高频跟进","机会/高频",IF($J90="大节气提前","机会/大节气提前",IF(OR($J90="临近高频",$J90="临近二次",$J90="二次排查",$J90="一次排查"),"机会/预热","非今日"))))))</x:f>
        <x:v>非今日</x:v>
      </x:c>
      <x:c r="W90" s="15" t="str">
        <x:f>IF($J90="收尾下滑","控投/清尾/算留仓",IF($J90="节后清尾","节后降投/复盘",IF($J90="节点当日","当日冲刺/控尾流",IF($J90="节点进行中","转化监控/看趋势",IF($J90="高频跟进","放量+控ACOS",IF($J90="大节气提前","提前锁结构/预算",IF($J90="临近高频","预查结构/埋词",IF($J90="临近二次","提前补结构/埋词",IF($J90="二次排查","补结构/补词",IF($J90="一次排查","筛SKU/核库存","暂无"))))))))))</x:f>
        <x:v>暂无</x:v>
      </x:c>
      <x:c r="X90" s="15" t="str">
        <x:f>IF(AND('今日提醒'!$B$2&gt;=$L90,'今日提醒'!$B$2&lt;=$M90,$L90=$M90),"节点当日：不是预热",IF(AND('今日提醒'!$B$2&gt;=$L90,'今日提醒'!$B$2&lt;=$M90,'今日提醒'!$B$2&gt;$S90),"高频已结束但销售窗口未结束：疑似尾期/下滑",IF(AND('今日提醒'!$B$2&gt;$M90,'今日提醒'!$B$2&lt;=$S90),"节点已过但仍在清尾窗口",IF($J90="大节气提前","大节气高频前30天：提前进入主推准备",IF($J90="临近二次","大节气二次排查前14天：提前准备","")))))</x:f>
      </x:c>
    </x:row>
    <x:row r="91" ht="58" hidden="0" customHeight="1">
      <x:c r="A91" s="41" t="str">
        <x:v>School Counselor / Counselor Gift Season</x:v>
      </x:c>
      <x:c r="B91" s="41" t="str">
        <x:v>辅导员礼品季</x:v>
      </x:c>
      <x:c r="C91" s="41" t="str">
        <x:v>开学后学校辅导员、心理支持岗位礼品需求可能回升。</x:v>
      </x:c>
      <x:c r="D91" s="41" t="str">
        <x:v>2026-09-01 ~ 2026-10-31</x:v>
      </x:c>
      <x:c r="E91" s="41" t="str">
        <x:v>区间变动：按学校活动季取常用窗口</x:v>
      </x:c>
      <x:c r="F91" s="41" t="str">
        <x:v>文具、书签、收纳、宿舍装饰、老师/学生礼、课堂用品</x:v>
      </x:c>
      <x:c r="G91" s="41" t="str">
        <x:v>2026-06-03 ~ 2026-06-17：看历史动销起点、库存承接、Listing是否匹配。</x:v>
      </x:c>
      <x:c r="H91" s="41" t="str">
        <x:v>2026-07-18 ~ 2026-08-01：完成关键词/ASIN/主图标题检查，低预算轻测。</x:v>
      </x:c>
      <x:c r="I91" s="41" t="str">
        <x:v>2026-08-18 ~ 2026-10-01：头部SKU每日看，普通SKU每周2次。</x:v>
      </x:c>
      <x:c r="J91" s="41" t="str">
        <x:f>IF(AND('今日提醒'!$B$2&gt;=$L91,'今日提醒'!$B$2&lt;=$M91,$L91=$M91),"节点当日",IF(AND('今日提醒'!$B$2&gt;=$L91,'今日提醒'!$B$2&lt;=$M91,'今日提醒'!$B$2&gt;$S91),"收尾下滑",IF(AND('今日提醒'!$B$2&gt;=$L91,'今日提醒'!$B$2&lt;=$M91),"节点进行中",IF(AND('今日提醒'!$B$2&gt;$M91,'今日提醒'!$B$2&lt;=$S91),"节后清尾",IF(AND('今日提醒'!$B$2&gt;=$R91,'今日提醒'!$B$2&lt;=$S91),"高频跟进",IF(AND('今日提醒'!$B$2&gt;=($R91-14),'今日提醒'!$B$2&lt;$R91,'今日提醒'!$B$2&lt;$L91),"临近高频",IF(AND(OR($A91="Chinese New Year",$A91="Super Bowl",$A91="Valentine's Day",$A91="Valentine Week",$A91="St. Patrick's Day",$A91="Easter",$A91="Graduation Season",$A91="Prom Season",$A91="Teacher Appreciation Week",$A91="Mother's Day",$A91="Memorial Day",$A91="Father's Day",$A91="Independence Day",$A91="Back-to-School Season",$A91="Labor Day",$A91="Halloween",$A91="Thanksgiving",$A91="Black Friday / Cyber Monday",$A91="Christmas",$A91="New Year's Eve / New Year Season"),'今日提醒'!$B$2&gt;=($R91-30),'今日提醒'!$B$2&lt;$R91,'今日提醒'!$B$2&lt;$L91),"大节气提前",IF(AND('今日提醒'!$B$2&gt;=$P91,'今日提醒'!$B$2&lt;=$Q91),"二次排查",IF(AND(OR($A91="Chinese New Year",$A91="Super Bowl",$A91="Valentine's Day",$A91="Valentine Week",$A91="St. Patrick's Day",$A91="Easter",$A91="Graduation Season",$A91="Prom Season",$A91="Teacher Appreciation Week",$A91="Mother's Day",$A91="Memorial Day",$A91="Father's Day",$A91="Independence Day",$A91="Back-to-School Season",$A91="Labor Day",$A91="Halloween",$A91="Thanksgiving",$A91="Black Friday / Cyber Monday",$A91="Christmas",$A91="New Year's Eve / New Year Season"),'今日提醒'!$B$2&gt;=($P91-14),'今日提醒'!$B$2&lt;$P91,'今日提醒'!$B$2&lt;$L91),"临近二次",IF(AND('今日提醒'!$B$2&gt;=$N91,'今日提醒'!$B$2&lt;=$O91),"一次排查",IF('今日提醒'!$B$2&lt;$N91,"未到排查",IF('今日提醒'!$B$2&lt;$L91,"等待下一窗口","已过"))))))))))))</x:f>
        <x:v>未到排查</x:v>
      </x:c>
      <x:c r="K91" s="41" t="str">
        <x:f>IF($J91="收尾下滑","主购买/高频窗口已过，流量可能走弱：不要盲目加预算或新建组；优先看库存压力、ACOS、广告占比、自然单，仅保留高转化词，计算清货/留仓。",IF($J91="节后清尾","节点已过但仍在清尾窗口：控低效词、降无效预算，复盘转化词；库存重则算清货，库存轻则吃完尾流。",IF($J91="节点当日","今天就是节点当日：优先看转化、库存承接、广告花费和尾流风险；可以吃最后一波有效流量，但不要再大范围新建或盲目加预算。",IF($J91="节点进行中","当前在节点/销售窗口内：这是进行中，不是预热；重点看销量、库存承接、广告花费、转化和是否已出现流量下滑。",IF($J91="高频跟进","今天在高频跟进窗口：头部SKU每日看；重点看高库存、高花费、断货风险和ACOS。",IF($J91="临近高频","高频窗口即将开始：今天先预查广告结构、关键词/ASIN、Listing埋词、库存承接和预算，避免临近节点再补。",IF($J91="大节气提前","大节气提前窗口：不要等高频当天再动；今天先锁定主推SKU、库存承接、Listing节日词、广告结构和预算上限，低相关/低库存产品不硬推。",IF($J91="二次排查","今天在二次排查窗口：补广告结构、关键词/ASIN、预算和Listing埋词。",IF($J91="临近二次","大节气二次排查即将开始：提前准备词/ASIN/图片/价格/促销，不等窗口当天才补结构。",IF($J91="一次排查","今天在一次排查窗口：先筛SKU，看历史动销、库存、利润和Listing匹配。",IF($J91="未到排查","暂不处理，等一次排查窗口。",IF($J91="等待下一窗口","暂不在排查窗口；等高频或节点开始，除非有库存/广告异常。","已过：复盘、降投、清尾或沉淀明年节点。"))))))))))))</x:f>
        <x:v>暂不处理，等一次排查窗口。</x:v>
      </x:c>
      <x:c r="L91" s="42" t="n">
        <x:v>46266</x:v>
      </x:c>
      <x:c r="M91" s="42" t="n">
        <x:v>46326</x:v>
      </x:c>
      <x:c r="N91" s="42" t="n">
        <x:v>46176</x:v>
      </x:c>
      <x:c r="O91" s="42" t="n">
        <x:v>46190</x:v>
      </x:c>
      <x:c r="P91" s="42" t="n">
        <x:v>46221</x:v>
      </x:c>
      <x:c r="Q91" s="42" t="n">
        <x:v>46235</x:v>
      </x:c>
      <x:c r="R91" s="42" t="n">
        <x:v>46252</x:v>
      </x:c>
      <x:c r="S91" s="42" t="n">
        <x:v>46296</x:v>
      </x:c>
      <x:c r="T91" s="43" t="n">
        <x:f>$L91-'今日提醒'!$B$2</x:f>
        <x:v>99</x:v>
      </x:c>
      <x:c r="U91" s="74" t="n">
        <x:f>IF(OR($J91="收尾下滑",$J91="节后清尾",$J91="节点当日",$J91="节点进行中",$J91="高频跟进",$J91="临近高频",$J91="大节气提前",$J91="二次排查",$J91="临近二次",$J91="一次排查"),IF($J91="收尾下滑",1,IF($J91="节后清尾",2,IF($J91="节点当日",3,IF($J91="节点进行中",4,IF($J91="高频跟进",5,IF($J91="临近高频",6,IF($J91="大节气提前",7,IF($J91="二次排查",8,IF($J91="临近二次",9,10)))))))))*100000+ROW(),99999999+ROW())</x:f>
        <x:v>100000090</x:v>
      </x:c>
      <x:c r="V91" s="15" t="str">
        <x:f>IF(OR($J91="收尾下滑",$J91="节后清尾"),"风险/止损",IF($J91="节点当日","机会/当日冲刺",IF($J91="节点进行中","机会/进行中",IF($J91="高频跟进","机会/高频",IF($J91="大节气提前","机会/大节气提前",IF(OR($J91="临近高频",$J91="临近二次",$J91="二次排查",$J91="一次排查"),"机会/预热","非今日"))))))</x:f>
        <x:v>非今日</x:v>
      </x:c>
      <x:c r="W91" s="15" t="str">
        <x:f>IF($J91="收尾下滑","控投/清尾/算留仓",IF($J91="节后清尾","节后降投/复盘",IF($J91="节点当日","当日冲刺/控尾流",IF($J91="节点进行中","转化监控/看趋势",IF($J91="高频跟进","放量+控ACOS",IF($J91="大节气提前","提前锁结构/预算",IF($J91="临近高频","预查结构/埋词",IF($J91="临近二次","提前补结构/埋词",IF($J91="二次排查","补结构/补词",IF($J91="一次排查","筛SKU/核库存","暂无"))))))))))</x:f>
        <x:v>暂无</x:v>
      </x:c>
      <x:c r="X91" s="15" t="str">
        <x:f>IF(AND('今日提醒'!$B$2&gt;=$L91,'今日提醒'!$B$2&lt;=$M91,$L91=$M91),"节点当日：不是预热",IF(AND('今日提醒'!$B$2&gt;=$L91,'今日提醒'!$B$2&lt;=$M91,'今日提醒'!$B$2&gt;$S91),"高频已结束但销售窗口未结束：疑似尾期/下滑",IF(AND('今日提醒'!$B$2&gt;$M91,'今日提醒'!$B$2&lt;=$S91),"节点已过但仍在清尾窗口",IF($J91="大节气提前","大节气高频前30天：提前进入主推准备",IF($J91="临近二次","大节气二次排查前14天：提前准备","")))))</x:f>
      </x:c>
    </x:row>
    <x:row r="92" ht="58" hidden="0" customHeight="1">
      <x:c r="A92" s="41" t="str">
        <x:v>Breast Cancer Awareness Month</x:v>
      </x:c>
      <x:c r="B92" s="41" t="str">
        <x:v>乳腺癌关注月</x:v>
      </x:c>
      <x:c r="C92" s="41" t="str">
        <x:v>以粉丝带为代表的健康意识月，适合support、survivor、awareness gifts等产品。</x:v>
      </x:c>
      <x:c r="D92" s="41" t="str">
        <x:v>2026-10-01 ~ 2026-10-31</x:v>
      </x:c>
      <x:c r="E92" s="41" t="str">
        <x:v>固定月份</x:v>
      </x:c>
      <x:c r="F92" s="41" t="str">
        <x:v>意识/支持类产品：丝带、手链、鼓励卡、贴纸；敏感节点商业化要克制</x:v>
      </x:c>
      <x:c r="G92" s="41" t="str">
        <x:v>2026-07-03 ~ 2026-07-18：先确认产品真实匹配，避免硬蹭敏感议题。</x:v>
      </x:c>
      <x:c r="H92" s="41" t="str">
        <x:v>2026-08-17 ~ 2026-08-27：检查图片/文案/关键词是否克制且合规。</x:v>
      </x:c>
      <x:c r="I92" s="41" t="str">
        <x:v>2026-09-17 ~ 2026-10-16：每2-3天看；表现差或表达风险高就停。</x:v>
      </x:c>
      <x:c r="J92" s="41" t="str">
        <x:f>IF(AND('今日提醒'!$B$2&gt;=$L92,'今日提醒'!$B$2&lt;=$M92,$L92=$M92),"节点当日",IF(AND('今日提醒'!$B$2&gt;=$L92,'今日提醒'!$B$2&lt;=$M92,'今日提醒'!$B$2&gt;$S92),"收尾下滑",IF(AND('今日提醒'!$B$2&gt;=$L92,'今日提醒'!$B$2&lt;=$M92),"节点进行中",IF(AND('今日提醒'!$B$2&gt;$M92,'今日提醒'!$B$2&lt;=$S92),"节后清尾",IF(AND('今日提醒'!$B$2&gt;=$R92,'今日提醒'!$B$2&lt;=$S92),"高频跟进",IF(AND('今日提醒'!$B$2&gt;=($R92-14),'今日提醒'!$B$2&lt;$R92,'今日提醒'!$B$2&lt;$L92),"临近高频",IF(AND(OR($A92="Chinese New Year",$A92="Super Bowl",$A92="Valentine's Day",$A92="Valentine Week",$A92="St. Patrick's Day",$A92="Easter",$A92="Graduation Season",$A92="Prom Season",$A92="Teacher Appreciation Week",$A92="Mother's Day",$A92="Memorial Day",$A92="Father's Day",$A92="Independence Day",$A92="Back-to-School Season",$A92="Labor Day",$A92="Halloween",$A92="Thanksgiving",$A92="Black Friday / Cyber Monday",$A92="Christmas",$A92="New Year's Eve / New Year Season"),'今日提醒'!$B$2&gt;=($R92-30),'今日提醒'!$B$2&lt;$R92,'今日提醒'!$B$2&lt;$L92),"大节气提前",IF(AND('今日提醒'!$B$2&gt;=$P92,'今日提醒'!$B$2&lt;=$Q92),"二次排查",IF(AND(OR($A92="Chinese New Year",$A92="Super Bowl",$A92="Valentine's Day",$A92="Valentine Week",$A92="St. Patrick's Day",$A92="Easter",$A92="Graduation Season",$A92="Prom Season",$A92="Teacher Appreciation Week",$A92="Mother's Day",$A92="Memorial Day",$A92="Father's Day",$A92="Independence Day",$A92="Back-to-School Season",$A92="Labor Day",$A92="Halloween",$A92="Thanksgiving",$A92="Black Friday / Cyber Monday",$A92="Christmas",$A92="New Year's Eve / New Year Season"),'今日提醒'!$B$2&gt;=($P92-14),'今日提醒'!$B$2&lt;$P92,'今日提醒'!$B$2&lt;$L92),"临近二次",IF(AND('今日提醒'!$B$2&gt;=$N92,'今日提醒'!$B$2&lt;=$O92),"一次排查",IF('今日提醒'!$B$2&lt;$N92,"未到排查",IF('今日提醒'!$B$2&lt;$L92,"等待下一窗口","已过"))))))))))))</x:f>
        <x:v>未到排查</x:v>
      </x:c>
      <x:c r="K92" s="41" t="str">
        <x:f>IF($J92="收尾下滑","主购买/高频窗口已过，流量可能走弱：不要盲目加预算或新建组；优先看库存压力、ACOS、广告占比、自然单，仅保留高转化词，计算清货/留仓。",IF($J92="节后清尾","节点已过但仍在清尾窗口：控低效词、降无效预算，复盘转化词；库存重则算清货，库存轻则吃完尾流。",IF($J92="节点当日","今天就是节点当日：优先看转化、库存承接、广告花费和尾流风险；可以吃最后一波有效流量，但不要再大范围新建或盲目加预算。",IF($J92="节点进行中","当前在节点/销售窗口内：这是进行中，不是预热；重点看销量、库存承接、广告花费、转化和是否已出现流量下滑。",IF($J92="高频跟进","今天在高频跟进窗口：头部SKU每日看；重点看高库存、高花费、断货风险和ACOS。",IF($J92="临近高频","高频窗口即将开始：今天先预查广告结构、关键词/ASIN、Listing埋词、库存承接和预算，避免临近节点再补。",IF($J92="大节气提前","大节气提前窗口：不要等高频当天再动；今天先锁定主推SKU、库存承接、Listing节日词、广告结构和预算上限，低相关/低库存产品不硬推。",IF($J92="二次排查","今天在二次排查窗口：补广告结构、关键词/ASIN、预算和Listing埋词。",IF($J92="临近二次","大节气二次排查即将开始：提前准备词/ASIN/图片/价格/促销，不等窗口当天才补结构。",IF($J92="一次排查","今天在一次排查窗口：先筛SKU，看历史动销、库存、利润和Listing匹配。",IF($J92="未到排查","暂不处理，等一次排查窗口。",IF($J92="等待下一窗口","暂不在排查窗口；等高频或节点开始，除非有库存/广告异常。","已过：复盘、降投、清尾或沉淀明年节点。"))))))))))))</x:f>
        <x:v>暂不处理，等一次排查窗口。</x:v>
      </x:c>
      <x:c r="L92" s="42" t="n">
        <x:v>46296</x:v>
      </x:c>
      <x:c r="M92" s="42" t="n">
        <x:v>46326</x:v>
      </x:c>
      <x:c r="N92" s="42" t="n">
        <x:v>46206</x:v>
      </x:c>
      <x:c r="O92" s="42" t="n">
        <x:v>46221</x:v>
      </x:c>
      <x:c r="P92" s="42" t="n">
        <x:v>46251</x:v>
      </x:c>
      <x:c r="Q92" s="42" t="n">
        <x:v>46261</x:v>
      </x:c>
      <x:c r="R92" s="42" t="n">
        <x:v>46282</x:v>
      </x:c>
      <x:c r="S92" s="42" t="n">
        <x:v>46311</x:v>
      </x:c>
      <x:c r="T92" s="43" t="n">
        <x:f>$L92-'今日提醒'!$B$2</x:f>
        <x:v>129</x:v>
      </x:c>
      <x:c r="U92" s="74" t="n">
        <x:f>IF(OR($J92="收尾下滑",$J92="节后清尾",$J92="节点当日",$J92="节点进行中",$J92="高频跟进",$J92="临近高频",$J92="大节气提前",$J92="二次排查",$J92="临近二次",$J92="一次排查"),IF($J92="收尾下滑",1,IF($J92="节后清尾",2,IF($J92="节点当日",3,IF($J92="节点进行中",4,IF($J92="高频跟进",5,IF($J92="临近高频",6,IF($J92="大节气提前",7,IF($J92="二次排查",8,IF($J92="临近二次",9,10)))))))))*100000+ROW(),99999999+ROW())</x:f>
        <x:v>100000091</x:v>
      </x:c>
      <x:c r="V92" s="15" t="str">
        <x:f>IF(OR($J92="收尾下滑",$J92="节后清尾"),"风险/止损",IF($J92="节点当日","机会/当日冲刺",IF($J92="节点进行中","机会/进行中",IF($J92="高频跟进","机会/高频",IF($J92="大节气提前","机会/大节气提前",IF(OR($J92="临近高频",$J92="临近二次",$J92="二次排查",$J92="一次排查"),"机会/预热","非今日"))))))</x:f>
        <x:v>非今日</x:v>
      </x:c>
      <x:c r="W92" s="15" t="str">
        <x:f>IF($J92="收尾下滑","控投/清尾/算留仓",IF($J92="节后清尾","节后降投/复盘",IF($J92="节点当日","当日冲刺/控尾流",IF($J92="节点进行中","转化监控/看趋势",IF($J92="高频跟进","放量+控ACOS",IF($J92="大节气提前","提前锁结构/预算",IF($J92="临近高频","预查结构/埋词",IF($J92="临近二次","提前补结构/埋词",IF($J92="二次排查","补结构/补词",IF($J92="一次排查","筛SKU/核库存","暂无"))))))))))</x:f>
        <x:v>暂无</x:v>
      </x:c>
      <x:c r="X92" s="15" t="str">
        <x:f>IF(AND('今日提醒'!$B$2&gt;=$L92,'今日提醒'!$B$2&lt;=$M92,$L92=$M92),"节点当日：不是预热",IF(AND('今日提醒'!$B$2&gt;=$L92,'今日提醒'!$B$2&lt;=$M92,'今日提醒'!$B$2&gt;$S92),"高频已结束但销售窗口未结束：疑似尾期/下滑",IF(AND('今日提醒'!$B$2&gt;$M92,'今日提醒'!$B$2&lt;=$S92),"节点已过但仍在清尾窗口",IF($J92="大节气提前","大节气高频前30天：提前进入主推准备",IF($J92="临近二次","大节气二次排查前14天：提前准备","")))))</x:f>
      </x:c>
    </x:row>
    <x:row r="93" ht="58" hidden="0" customHeight="1">
      <x:c r="A93" s="41" t="str">
        <x:v>Domestic Violence Awareness Month</x:v>
      </x:c>
      <x:c r="B93" s="41" t="str">
        <x:v>家暴关注月</x:v>
      </x:c>
      <x:c r="C93" s="41" t="str">
        <x:v>关注家暴幸存者支持与反暴力倡导，适合支持类公益表达，商业化需谨慎。</x:v>
      </x:c>
      <x:c r="D93" s="41" t="str">
        <x:v>2026-10-01 ~ 2026-10-31</x:v>
      </x:c>
      <x:c r="E93" s="41" t="str">
        <x:v>固定月份</x:v>
      </x:c>
      <x:c r="F93" s="41" t="str">
        <x:v>意识/支持类产品：丝带、手链、鼓励卡、贴纸；敏感节点商业化要克制</x:v>
      </x:c>
      <x:c r="G93" s="41" t="str">
        <x:v>2026-07-03 ~ 2026-07-18：先确认产品真实匹配，避免硬蹭敏感议题。</x:v>
      </x:c>
      <x:c r="H93" s="41" t="str">
        <x:v>2026-08-17 ~ 2026-08-27：检查图片/文案/关键词是否克制且合规。</x:v>
      </x:c>
      <x:c r="I93" s="41" t="str">
        <x:v>2026-09-17 ~ 2026-10-16：每2-3天看；表现差或表达风险高就停。</x:v>
      </x:c>
      <x:c r="J93" s="41" t="str">
        <x:f>IF(AND('今日提醒'!$B$2&gt;=$L93,'今日提醒'!$B$2&lt;=$M93,$L93=$M93),"节点当日",IF(AND('今日提醒'!$B$2&gt;=$L93,'今日提醒'!$B$2&lt;=$M93,'今日提醒'!$B$2&gt;$S93),"收尾下滑",IF(AND('今日提醒'!$B$2&gt;=$L93,'今日提醒'!$B$2&lt;=$M93),"节点进行中",IF(AND('今日提醒'!$B$2&gt;$M93,'今日提醒'!$B$2&lt;=$S93),"节后清尾",IF(AND('今日提醒'!$B$2&gt;=$R93,'今日提醒'!$B$2&lt;=$S93),"高频跟进",IF(AND('今日提醒'!$B$2&gt;=($R93-14),'今日提醒'!$B$2&lt;$R93,'今日提醒'!$B$2&lt;$L93),"临近高频",IF(AND(OR($A93="Chinese New Year",$A93="Super Bowl",$A93="Valentine's Day",$A93="Valentine Week",$A93="St. Patrick's Day",$A93="Easter",$A93="Graduation Season",$A93="Prom Season",$A93="Teacher Appreciation Week",$A93="Mother's Day",$A93="Memorial Day",$A93="Father's Day",$A93="Independence Day",$A93="Back-to-School Season",$A93="Labor Day",$A93="Halloween",$A93="Thanksgiving",$A93="Black Friday / Cyber Monday",$A93="Christmas",$A93="New Year's Eve / New Year Season"),'今日提醒'!$B$2&gt;=($R93-30),'今日提醒'!$B$2&lt;$R93,'今日提醒'!$B$2&lt;$L93),"大节气提前",IF(AND('今日提醒'!$B$2&gt;=$P93,'今日提醒'!$B$2&lt;=$Q93),"二次排查",IF(AND(OR($A93="Chinese New Year",$A93="Super Bowl",$A93="Valentine's Day",$A93="Valentine Week",$A93="St. Patrick's Day",$A93="Easter",$A93="Graduation Season",$A93="Prom Season",$A93="Teacher Appreciation Week",$A93="Mother's Day",$A93="Memorial Day",$A93="Father's Day",$A93="Independence Day",$A93="Back-to-School Season",$A93="Labor Day",$A93="Halloween",$A93="Thanksgiving",$A93="Black Friday / Cyber Monday",$A93="Christmas",$A93="New Year's Eve / New Year Season"),'今日提醒'!$B$2&gt;=($P93-14),'今日提醒'!$B$2&lt;$P93,'今日提醒'!$B$2&lt;$L93),"临近二次",IF(AND('今日提醒'!$B$2&gt;=$N93,'今日提醒'!$B$2&lt;=$O93),"一次排查",IF('今日提醒'!$B$2&lt;$N93,"未到排查",IF('今日提醒'!$B$2&lt;$L93,"等待下一窗口","已过"))))))))))))</x:f>
        <x:v>未到排查</x:v>
      </x:c>
      <x:c r="K93" s="41" t="str">
        <x:f>IF($J93="收尾下滑","主购买/高频窗口已过，流量可能走弱：不要盲目加预算或新建组；优先看库存压力、ACOS、广告占比、自然单，仅保留高转化词，计算清货/留仓。",IF($J93="节后清尾","节点已过但仍在清尾窗口：控低效词、降无效预算，复盘转化词；库存重则算清货，库存轻则吃完尾流。",IF($J93="节点当日","今天就是节点当日：优先看转化、库存承接、广告花费和尾流风险；可以吃最后一波有效流量，但不要再大范围新建或盲目加预算。",IF($J93="节点进行中","当前在节点/销售窗口内：这是进行中，不是预热；重点看销量、库存承接、广告花费、转化和是否已出现流量下滑。",IF($J93="高频跟进","今天在高频跟进窗口：头部SKU每日看；重点看高库存、高花费、断货风险和ACOS。",IF($J93="临近高频","高频窗口即将开始：今天先预查广告结构、关键词/ASIN、Listing埋词、库存承接和预算，避免临近节点再补。",IF($J93="大节气提前","大节气提前窗口：不要等高频当天再动；今天先锁定主推SKU、库存承接、Listing节日词、广告结构和预算上限，低相关/低库存产品不硬推。",IF($J93="二次排查","今天在二次排查窗口：补广告结构、关键词/ASIN、预算和Listing埋词。",IF($J93="临近二次","大节气二次排查即将开始：提前准备词/ASIN/图片/价格/促销，不等窗口当天才补结构。",IF($J93="一次排查","今天在一次排查窗口：先筛SKU，看历史动销、库存、利润和Listing匹配。",IF($J93="未到排查","暂不处理，等一次排查窗口。",IF($J93="等待下一窗口","暂不在排查窗口；等高频或节点开始，除非有库存/广告异常。","已过：复盘、降投、清尾或沉淀明年节点。"))))))))))))</x:f>
        <x:v>暂不处理，等一次排查窗口。</x:v>
      </x:c>
      <x:c r="L93" s="42" t="n">
        <x:v>46296</x:v>
      </x:c>
      <x:c r="M93" s="42" t="n">
        <x:v>46326</x:v>
      </x:c>
      <x:c r="N93" s="42" t="n">
        <x:v>46206</x:v>
      </x:c>
      <x:c r="O93" s="42" t="n">
        <x:v>46221</x:v>
      </x:c>
      <x:c r="P93" s="42" t="n">
        <x:v>46251</x:v>
      </x:c>
      <x:c r="Q93" s="42" t="n">
        <x:v>46261</x:v>
      </x:c>
      <x:c r="R93" s="42" t="n">
        <x:v>46282</x:v>
      </x:c>
      <x:c r="S93" s="42" t="n">
        <x:v>46311</x:v>
      </x:c>
      <x:c r="T93" s="43" t="n">
        <x:f>$L93-'今日提醒'!$B$2</x:f>
        <x:v>129</x:v>
      </x:c>
      <x:c r="U93" s="74" t="n">
        <x:f>IF(OR($J93="收尾下滑",$J93="节后清尾",$J93="节点当日",$J93="节点进行中",$J93="高频跟进",$J93="临近高频",$J93="大节气提前",$J93="二次排查",$J93="临近二次",$J93="一次排查"),IF($J93="收尾下滑",1,IF($J93="节后清尾",2,IF($J93="节点当日",3,IF($J93="节点进行中",4,IF($J93="高频跟进",5,IF($J93="临近高频",6,IF($J93="大节气提前",7,IF($J93="二次排查",8,IF($J93="临近二次",9,10)))))))))*100000+ROW(),99999999+ROW())</x:f>
        <x:v>100000092</x:v>
      </x:c>
      <x:c r="V93" s="15" t="str">
        <x:f>IF(OR($J93="收尾下滑",$J93="节后清尾"),"风险/止损",IF($J93="节点当日","机会/当日冲刺",IF($J93="节点进行中","机会/进行中",IF($J93="高频跟进","机会/高频",IF($J93="大节气提前","机会/大节气提前",IF(OR($J93="临近高频",$J93="临近二次",$J93="二次排查",$J93="一次排查"),"机会/预热","非今日"))))))</x:f>
        <x:v>非今日</x:v>
      </x:c>
      <x:c r="W93" s="15" t="str">
        <x:f>IF($J93="收尾下滑","控投/清尾/算留仓",IF($J93="节后清尾","节后降投/复盘",IF($J93="节点当日","当日冲刺/控尾流",IF($J93="节点进行中","转化监控/看趋势",IF($J93="高频跟进","放量+控ACOS",IF($J93="大节气提前","提前锁结构/预算",IF($J93="临近高频","预查结构/埋词",IF($J93="临近二次","提前补结构/埋词",IF($J93="二次排查","补结构/补词",IF($J93="一次排查","筛SKU/核库存","暂无"))))))))))</x:f>
        <x:v>暂无</x:v>
      </x:c>
      <x:c r="X93" s="15" t="str">
        <x:f>IF(AND('今日提醒'!$B$2&gt;=$L93,'今日提醒'!$B$2&lt;=$M93,$L93=$M93),"节点当日：不是预热",IF(AND('今日提醒'!$B$2&gt;=$L93,'今日提醒'!$B$2&lt;=$M93,'今日提醒'!$B$2&gt;$S93),"高频已结束但销售窗口未结束：疑似尾期/下滑",IF(AND('今日提醒'!$B$2&gt;$M93,'今日提醒'!$B$2&lt;=$S93),"节点已过但仍在清尾窗口",IF($J93="大节气提前","大节气高频前30天：提前进入主推准备",IF($J93="临近二次","大节气二次排查前14天：提前准备","")))))</x:f>
      </x:c>
    </x:row>
    <x:row r="94" ht="58" hidden="0" customHeight="1">
      <x:c r="A94" s="41" t="str">
        <x:v>Fire Prevention Week</x:v>
      </x:c>
      <x:c r="B94" s="41" t="str">
        <x:v>消防安全周/防火周</x:v>
      </x:c>
      <x:c r="C94" s="41" t="str">
        <x:v>推广家庭与社区消防安全，适合firefighter、fire safety、first responder相关主题。</x:v>
      </x:c>
      <x:c r="D94" s="41" t="str">
        <x:v>2026-10-04 ~ 2026-10-10</x:v>
      </x:c>
      <x:c r="E94" s="41" t="str">
        <x:v>每年变动</x:v>
      </x:c>
      <x:c r="F94" s="41" t="str">
        <x:v>firefighter/fire safety gifts、first responder感谢礼、安全教育用品</x:v>
      </x:c>
      <x:c r="G94" s="41" t="str">
        <x:v>2026-07-21 ~ 2026-08-05：按职业词筛SKU，核库存、历史动销和礼品适配。</x:v>
      </x:c>
      <x:c r="H94" s="41" t="str">
        <x:v>2026-08-25 ~ 2026-09-04：建/补广告组，补关键词/ASIN，处理低效流量。</x:v>
      </x:c>
      <x:c r="I94" s="41" t="str">
        <x:v>2026-09-20 ~ 2026-10-10：高库存/高花费SKU每日看，其余2-3天看。</x:v>
      </x:c>
      <x:c r="J94" s="41" t="str">
        <x:f>IF(AND('今日提醒'!$B$2&gt;=$L94,'今日提醒'!$B$2&lt;=$M94,$L94=$M94),"节点当日",IF(AND('今日提醒'!$B$2&gt;=$L94,'今日提醒'!$B$2&lt;=$M94,'今日提醒'!$B$2&gt;$S94),"收尾下滑",IF(AND('今日提醒'!$B$2&gt;=$L94,'今日提醒'!$B$2&lt;=$M94),"节点进行中",IF(AND('今日提醒'!$B$2&gt;$M94,'今日提醒'!$B$2&lt;=$S94),"节后清尾",IF(AND('今日提醒'!$B$2&gt;=$R94,'今日提醒'!$B$2&lt;=$S94),"高频跟进",IF(AND('今日提醒'!$B$2&gt;=($R94-14),'今日提醒'!$B$2&lt;$R94,'今日提醒'!$B$2&lt;$L94),"临近高频",IF(AND(OR($A94="Chinese New Year",$A94="Super Bowl",$A94="Valentine's Day",$A94="Valentine Week",$A94="St. Patrick's Day",$A94="Easter",$A94="Graduation Season",$A94="Prom Season",$A94="Teacher Appreciation Week",$A94="Mother's Day",$A94="Memorial Day",$A94="Father's Day",$A94="Independence Day",$A94="Back-to-School Season",$A94="Labor Day",$A94="Halloween",$A94="Thanksgiving",$A94="Black Friday / Cyber Monday",$A94="Christmas",$A94="New Year's Eve / New Year Season"),'今日提醒'!$B$2&gt;=($R94-30),'今日提醒'!$B$2&lt;$R94,'今日提醒'!$B$2&lt;$L94),"大节气提前",IF(AND('今日提醒'!$B$2&gt;=$P94,'今日提醒'!$B$2&lt;=$Q94),"二次排查",IF(AND(OR($A94="Chinese New Year",$A94="Super Bowl",$A94="Valentine's Day",$A94="Valentine Week",$A94="St. Patrick's Day",$A94="Easter",$A94="Graduation Season",$A94="Prom Season",$A94="Teacher Appreciation Week",$A94="Mother's Day",$A94="Memorial Day",$A94="Father's Day",$A94="Independence Day",$A94="Back-to-School Season",$A94="Labor Day",$A94="Halloween",$A94="Thanksgiving",$A94="Black Friday / Cyber Monday",$A94="Christmas",$A94="New Year's Eve / New Year Season"),'今日提醒'!$B$2&gt;=($P94-14),'今日提醒'!$B$2&lt;$P94,'今日提醒'!$B$2&lt;$L94),"临近二次",IF(AND('今日提醒'!$B$2&gt;=$N94,'今日提醒'!$B$2&lt;=$O94),"一次排查",IF('今日提醒'!$B$2&lt;$N94,"未到排查",IF('今日提醒'!$B$2&lt;$L94,"等待下一窗口","已过"))))))))))))</x:f>
        <x:v>未到排查</x:v>
      </x:c>
      <x:c r="K94" s="41" t="str">
        <x:f>IF($J94="收尾下滑","主购买/高频窗口已过，流量可能走弱：不要盲目加预算或新建组；优先看库存压力、ACOS、广告占比、自然单，仅保留高转化词，计算清货/留仓。",IF($J94="节后清尾","节点已过但仍在清尾窗口：控低效词、降无效预算，复盘转化词；库存重则算清货，库存轻则吃完尾流。",IF($J94="节点当日","今天就是节点当日：优先看转化、库存承接、广告花费和尾流风险；可以吃最后一波有效流量，但不要再大范围新建或盲目加预算。",IF($J94="节点进行中","当前在节点/销售窗口内：这是进行中，不是预热；重点看销量、库存承接、广告花费、转化和是否已出现流量下滑。",IF($J94="高频跟进","今天在高频跟进窗口：头部SKU每日看；重点看高库存、高花费、断货风险和ACOS。",IF($J94="临近高频","高频窗口即将开始：今天先预查广告结构、关键词/ASIN、Listing埋词、库存承接和预算，避免临近节点再补。",IF($J94="大节气提前","大节气提前窗口：不要等高频当天再动；今天先锁定主推SKU、库存承接、Listing节日词、广告结构和预算上限，低相关/低库存产品不硬推。",IF($J94="二次排查","今天在二次排查窗口：补广告结构、关键词/ASIN、预算和Listing埋词。",IF($J94="临近二次","大节气二次排查即将开始：提前准备词/ASIN/图片/价格/促销，不等窗口当天才补结构。",IF($J94="一次排查","今天在一次排查窗口：先筛SKU，看历史动销、库存、利润和Listing匹配。",IF($J94="未到排查","暂不处理，等一次排查窗口。",IF($J94="等待下一窗口","暂不在排查窗口；等高频或节点开始，除非有库存/广告异常。","已过：复盘、降投、清尾或沉淀明年节点。"))))))))))))</x:f>
        <x:v>暂不处理，等一次排查窗口。</x:v>
      </x:c>
      <x:c r="L94" s="42" t="n">
        <x:v>46299</x:v>
      </x:c>
      <x:c r="M94" s="42" t="n">
        <x:v>46305</x:v>
      </x:c>
      <x:c r="N94" s="42" t="n">
        <x:v>46224</x:v>
      </x:c>
      <x:c r="O94" s="42" t="n">
        <x:v>46239</x:v>
      </x:c>
      <x:c r="P94" s="42" t="n">
        <x:v>46259</x:v>
      </x:c>
      <x:c r="Q94" s="42" t="n">
        <x:v>46269</x:v>
      </x:c>
      <x:c r="R94" s="42" t="n">
        <x:v>46285</x:v>
      </x:c>
      <x:c r="S94" s="42" t="n">
        <x:v>46305</x:v>
      </x:c>
      <x:c r="T94" s="43" t="n">
        <x:f>$L94-'今日提醒'!$B$2</x:f>
        <x:v>132</x:v>
      </x:c>
      <x:c r="U94" s="74" t="n">
        <x:f>IF(OR($J94="收尾下滑",$J94="节后清尾",$J94="节点当日",$J94="节点进行中",$J94="高频跟进",$J94="临近高频",$J94="大节气提前",$J94="二次排查",$J94="临近二次",$J94="一次排查"),IF($J94="收尾下滑",1,IF($J94="节后清尾",2,IF($J94="节点当日",3,IF($J94="节点进行中",4,IF($J94="高频跟进",5,IF($J94="临近高频",6,IF($J94="大节气提前",7,IF($J94="二次排查",8,IF($J94="临近二次",9,10)))))))))*100000+ROW(),99999999+ROW())</x:f>
        <x:v>100000093</x:v>
      </x:c>
      <x:c r="V94" s="15" t="str">
        <x:f>IF(OR($J94="收尾下滑",$J94="节后清尾"),"风险/止损",IF($J94="节点当日","机会/当日冲刺",IF($J94="节点进行中","机会/进行中",IF($J94="高频跟进","机会/高频",IF($J94="大节气提前","机会/大节气提前",IF(OR($J94="临近高频",$J94="临近二次",$J94="二次排查",$J94="一次排查"),"机会/预热","非今日"))))))</x:f>
        <x:v>非今日</x:v>
      </x:c>
      <x:c r="W94" s="15" t="str">
        <x:f>IF($J94="收尾下滑","控投/清尾/算留仓",IF($J94="节后清尾","节后降投/复盘",IF($J94="节点当日","当日冲刺/控尾流",IF($J94="节点进行中","转化监控/看趋势",IF($J94="高频跟进","放量+控ACOS",IF($J94="大节气提前","提前锁结构/预算",IF($J94="临近高频","预查结构/埋词",IF($J94="临近二次","提前补结构/埋词",IF($J94="二次排查","补结构/补词",IF($J94="一次排查","筛SKU/核库存","暂无"))))))))))</x:f>
        <x:v>暂无</x:v>
      </x:c>
      <x:c r="X94" s="15" t="str">
        <x:f>IF(AND('今日提醒'!$B$2&gt;=$L94,'今日提醒'!$B$2&lt;=$M94,$L94=$M94),"节点当日：不是预热",IF(AND('今日提醒'!$B$2&gt;=$L94,'今日提醒'!$B$2&lt;=$M94,'今日提醒'!$B$2&gt;$S94),"高频已结束但销售窗口未结束：疑似尾期/下滑",IF(AND('今日提醒'!$B$2&gt;$M94,'今日提醒'!$B$2&lt;=$S94),"节点已过但仍在清尾窗口",IF($J94="大节气提前","大节气高频前30天：提前进入主推准备",IF($J94="临近二次","大节气二次排查前14天：提前准备","")))))</x:f>
      </x:c>
    </x:row>
    <x:row r="95" ht="58" hidden="0" customHeight="1">
      <x:c r="A95" s="41" t="str">
        <x:v>Pastor Appreciation Month</x:v>
      </x:c>
      <x:c r="B95" s="41" t="str">
        <x:v>牧师感谢月</x:v>
      </x:c>
      <x:c r="C95" s="41" t="str">
        <x:v>美国教会感谢牧师与教会领袖的整月节点，适合pastor gifts。</x:v>
      </x:c>
      <x:c r="D95" s="41" t="str">
        <x:v>2026-10-01 ~ 2026-10-31</x:v>
      </x:c>
      <x:c r="E95" s="41" t="str">
        <x:v>固定月份</x:v>
      </x:c>
      <x:c r="F95" s="41" t="str">
        <x:v>pastor appreciation gifts、pastor wife gifts、Bible verse卡片、教会礼品</x:v>
      </x:c>
      <x:c r="G95" s="41" t="str">
        <x:v>2026-07-03 ~ 2026-07-18：筛对应SKU、查历史销量/库存/利润空间。</x:v>
      </x:c>
      <x:c r="H95" s="41" t="str">
        <x:v>2026-08-17 ~ 2026-08-27：补广告结构、关键词和Listing埋词。</x:v>
      </x:c>
      <x:c r="I95" s="41" t="str">
        <x:v>2026-09-17 ~ 2026-09-24：重点SKU每日或隔日看，长尾每周2次。</x:v>
      </x:c>
      <x:c r="J95" s="41" t="str">
        <x:f>IF(AND('今日提醒'!$B$2&gt;=$L95,'今日提醒'!$B$2&lt;=$M95,$L95=$M95),"节点当日",IF(AND('今日提醒'!$B$2&gt;=$L95,'今日提醒'!$B$2&lt;=$M95,'今日提醒'!$B$2&gt;$S95),"收尾下滑",IF(AND('今日提醒'!$B$2&gt;=$L95,'今日提醒'!$B$2&lt;=$M95),"节点进行中",IF(AND('今日提醒'!$B$2&gt;$M95,'今日提醒'!$B$2&lt;=$S95),"节后清尾",IF(AND('今日提醒'!$B$2&gt;=$R95,'今日提醒'!$B$2&lt;=$S95),"高频跟进",IF(AND('今日提醒'!$B$2&gt;=($R95-14),'今日提醒'!$B$2&lt;$R95,'今日提醒'!$B$2&lt;$L95),"临近高频",IF(AND(OR($A95="Chinese New Year",$A95="Super Bowl",$A95="Valentine's Day",$A95="Valentine Week",$A95="St. Patrick's Day",$A95="Easter",$A95="Graduation Season",$A95="Prom Season",$A95="Teacher Appreciation Week",$A95="Mother's Day",$A95="Memorial Day",$A95="Father's Day",$A95="Independence Day",$A95="Back-to-School Season",$A95="Labor Day",$A95="Halloween",$A95="Thanksgiving",$A95="Black Friday / Cyber Monday",$A95="Christmas",$A95="New Year's Eve / New Year Season"),'今日提醒'!$B$2&gt;=($R95-30),'今日提醒'!$B$2&lt;$R95,'今日提醒'!$B$2&lt;$L95),"大节气提前",IF(AND('今日提醒'!$B$2&gt;=$P95,'今日提醒'!$B$2&lt;=$Q95),"二次排查",IF(AND(OR($A95="Chinese New Year",$A95="Super Bowl",$A95="Valentine's Day",$A95="Valentine Week",$A95="St. Patrick's Day",$A95="Easter",$A95="Graduation Season",$A95="Prom Season",$A95="Teacher Appreciation Week",$A95="Mother's Day",$A95="Memorial Day",$A95="Father's Day",$A95="Independence Day",$A95="Back-to-School Season",$A95="Labor Day",$A95="Halloween",$A95="Thanksgiving",$A95="Black Friday / Cyber Monday",$A95="Christmas",$A95="New Year's Eve / New Year Season"),'今日提醒'!$B$2&gt;=($P95-14),'今日提醒'!$B$2&lt;$P95,'今日提醒'!$B$2&lt;$L95),"临近二次",IF(AND('今日提醒'!$B$2&gt;=$N95,'今日提醒'!$B$2&lt;=$O95),"一次排查",IF('今日提醒'!$B$2&lt;$N95,"未到排查",IF('今日提醒'!$B$2&lt;$L95,"等待下一窗口","已过"))))))))))))</x:f>
        <x:v>未到排查</x:v>
      </x:c>
      <x:c r="K95" s="41" t="str">
        <x:f>IF($J95="收尾下滑","主购买/高频窗口已过，流量可能走弱：不要盲目加预算或新建组；优先看库存压力、ACOS、广告占比、自然单，仅保留高转化词，计算清货/留仓。",IF($J95="节后清尾","节点已过但仍在清尾窗口：控低效词、降无效预算，复盘转化词；库存重则算清货，库存轻则吃完尾流。",IF($J95="节点当日","今天就是节点当日：优先看转化、库存承接、广告花费和尾流风险；可以吃最后一波有效流量，但不要再大范围新建或盲目加预算。",IF($J95="节点进行中","当前在节点/销售窗口内：这是进行中，不是预热；重点看销量、库存承接、广告花费、转化和是否已出现流量下滑。",IF($J95="高频跟进","今天在高频跟进窗口：头部SKU每日看；重点看高库存、高花费、断货风险和ACOS。",IF($J95="临近高频","高频窗口即将开始：今天先预查广告结构、关键词/ASIN、Listing埋词、库存承接和预算，避免临近节点再补。",IF($J95="大节气提前","大节气提前窗口：不要等高频当天再动；今天先锁定主推SKU、库存承接、Listing节日词、广告结构和预算上限，低相关/低库存产品不硬推。",IF($J95="二次排查","今天在二次排查窗口：补广告结构、关键词/ASIN、预算和Listing埋词。",IF($J95="临近二次","大节气二次排查即将开始：提前准备词/ASIN/图片/价格/促销，不等窗口当天才补结构。",IF($J95="一次排查","今天在一次排查窗口：先筛SKU，看历史动销、库存、利润和Listing匹配。",IF($J95="未到排查","暂不处理，等一次排查窗口。",IF($J95="等待下一窗口","暂不在排查窗口；等高频或节点开始，除非有库存/广告异常。","已过：复盘、降投、清尾或沉淀明年节点。"))))))))))))</x:f>
        <x:v>暂不处理，等一次排查窗口。</x:v>
      </x:c>
      <x:c r="L95" s="42" t="n">
        <x:v>46296</x:v>
      </x:c>
      <x:c r="M95" s="42" t="n">
        <x:v>46326</x:v>
      </x:c>
      <x:c r="N95" s="42" t="n">
        <x:v>46206</x:v>
      </x:c>
      <x:c r="O95" s="42" t="n">
        <x:v>46221</x:v>
      </x:c>
      <x:c r="P95" s="42" t="n">
        <x:v>46251</x:v>
      </x:c>
      <x:c r="Q95" s="42" t="n">
        <x:v>46261</x:v>
      </x:c>
      <x:c r="R95" s="42" t="n">
        <x:v>46282</x:v>
      </x:c>
      <x:c r="S95" s="42" t="n">
        <x:v>46289</x:v>
      </x:c>
      <x:c r="T95" s="43" t="n">
        <x:f>$L95-'今日提醒'!$B$2</x:f>
        <x:v>129</x:v>
      </x:c>
      <x:c r="U95" s="74" t="n">
        <x:f>IF(OR($J95="收尾下滑",$J95="节后清尾",$J95="节点当日",$J95="节点进行中",$J95="高频跟进",$J95="临近高频",$J95="大节气提前",$J95="二次排查",$J95="临近二次",$J95="一次排查"),IF($J95="收尾下滑",1,IF($J95="节后清尾",2,IF($J95="节点当日",3,IF($J95="节点进行中",4,IF($J95="高频跟进",5,IF($J95="临近高频",6,IF($J95="大节气提前",7,IF($J95="二次排查",8,IF($J95="临近二次",9,10)))))))))*100000+ROW(),99999999+ROW())</x:f>
        <x:v>100000094</x:v>
      </x:c>
      <x:c r="V95" s="15" t="str">
        <x:f>IF(OR($J95="收尾下滑",$J95="节后清尾"),"风险/止损",IF($J95="节点当日","机会/当日冲刺",IF($J95="节点进行中","机会/进行中",IF($J95="高频跟进","机会/高频",IF($J95="大节气提前","机会/大节气提前",IF(OR($J95="临近高频",$J95="临近二次",$J95="二次排查",$J95="一次排查"),"机会/预热","非今日"))))))</x:f>
        <x:v>非今日</x:v>
      </x:c>
      <x:c r="W95" s="15" t="str">
        <x:f>IF($J95="收尾下滑","控投/清尾/算留仓",IF($J95="节后清尾","节后降投/复盘",IF($J95="节点当日","当日冲刺/控尾流",IF($J95="节点进行中","转化监控/看趋势",IF($J95="高频跟进","放量+控ACOS",IF($J95="大节气提前","提前锁结构/预算",IF($J95="临近高频","预查结构/埋词",IF($J95="临近二次","提前补结构/埋词",IF($J95="二次排查","补结构/补词",IF($J95="一次排查","筛SKU/核库存","暂无"))))))))))</x:f>
        <x:v>暂无</x:v>
      </x:c>
      <x:c r="X95" s="15" t="str">
        <x:f>IF(AND('今日提醒'!$B$2&gt;=$L95,'今日提醒'!$B$2&lt;=$M95,$L95=$M95),"节点当日：不是预热",IF(AND('今日提醒'!$B$2&gt;=$L95,'今日提醒'!$B$2&lt;=$M95,'今日提醒'!$B$2&gt;$S95),"高频已结束但销售窗口未结束：疑似尾期/下滑",IF(AND('今日提醒'!$B$2&gt;$M95,'今日提醒'!$B$2&lt;=$S95),"节点已过但仍在清尾窗口",IF($J95="大节气提前","大节气高频前30天：提前进入主推准备",IF($J95="临近二次","大节气二次排查前14天：提前准备","")))))</x:f>
      </x:c>
    </x:row>
    <x:row r="96" ht="58" hidden="0" customHeight="1">
      <x:c r="A96" s="41" t="str">
        <x:v>Clergy Appreciation Day</x:v>
      </x:c>
      <x:c r="B96" s="41" t="str">
        <x:v>神职人员感谢日</x:v>
      </x:c>
      <x:c r="C96" s="41" t="str">
        <x:v>牧师感谢月中的核心单日，适合clergy/pastor appreciation礼品。</x:v>
      </x:c>
      <x:c r="D96" s="41" t="str">
        <x:v>2026-10-11</x:v>
      </x:c>
      <x:c r="E96" s="41" t="str">
        <x:v>每年变动</x:v>
      </x:c>
      <x:c r="F96" s="41" t="str">
        <x:v>pastor appreciation gifts、pastor wife gifts、Bible verse卡片、教会礼品</x:v>
      </x:c>
      <x:c r="G96" s="41" t="str">
        <x:v>2026-08-12 ~ 2026-08-27：先筛匹配SKU、历史销量、库存和利润空间。</x:v>
      </x:c>
      <x:c r="H96" s="41" t="str">
        <x:v>2026-09-11 ~ 2026-09-20：补关键词/ASIN、Listing埋词和广告预算。</x:v>
      </x:c>
      <x:c r="I96" s="41" t="str">
        <x:v>2026-09-27 ~ 2026-10-13：重点SKU每日看，普通SKU每2-3天看。</x:v>
      </x:c>
      <x:c r="J96" s="41" t="str">
        <x:f>IF(AND('今日提醒'!$B$2&gt;=$L96,'今日提醒'!$B$2&lt;=$M96,$L96=$M96),"节点当日",IF(AND('今日提醒'!$B$2&gt;=$L96,'今日提醒'!$B$2&lt;=$M96,'今日提醒'!$B$2&gt;$S96),"收尾下滑",IF(AND('今日提醒'!$B$2&gt;=$L96,'今日提醒'!$B$2&lt;=$M96),"节点进行中",IF(AND('今日提醒'!$B$2&gt;$M96,'今日提醒'!$B$2&lt;=$S96),"节后清尾",IF(AND('今日提醒'!$B$2&gt;=$R96,'今日提醒'!$B$2&lt;=$S96),"高频跟进",IF(AND('今日提醒'!$B$2&gt;=($R96-14),'今日提醒'!$B$2&lt;$R96,'今日提醒'!$B$2&lt;$L96),"临近高频",IF(AND(OR($A96="Chinese New Year",$A96="Super Bowl",$A96="Valentine's Day",$A96="Valentine Week",$A96="St. Patrick's Day",$A96="Easter",$A96="Graduation Season",$A96="Prom Season",$A96="Teacher Appreciation Week",$A96="Mother's Day",$A96="Memorial Day",$A96="Father's Day",$A96="Independence Day",$A96="Back-to-School Season",$A96="Labor Day",$A96="Halloween",$A96="Thanksgiving",$A96="Black Friday / Cyber Monday",$A96="Christmas",$A96="New Year's Eve / New Year Season"),'今日提醒'!$B$2&gt;=($R96-30),'今日提醒'!$B$2&lt;$R96,'今日提醒'!$B$2&lt;$L96),"大节气提前",IF(AND('今日提醒'!$B$2&gt;=$P96,'今日提醒'!$B$2&lt;=$Q96),"二次排查",IF(AND(OR($A96="Chinese New Year",$A96="Super Bowl",$A96="Valentine's Day",$A96="Valentine Week",$A96="St. Patrick's Day",$A96="Easter",$A96="Graduation Season",$A96="Prom Season",$A96="Teacher Appreciation Week",$A96="Mother's Day",$A96="Memorial Day",$A96="Father's Day",$A96="Independence Day",$A96="Back-to-School Season",$A96="Labor Day",$A96="Halloween",$A96="Thanksgiving",$A96="Black Friday / Cyber Monday",$A96="Christmas",$A96="New Year's Eve / New Year Season"),'今日提醒'!$B$2&gt;=($P96-14),'今日提醒'!$B$2&lt;$P96,'今日提醒'!$B$2&lt;$L96),"临近二次",IF(AND('今日提醒'!$B$2&gt;=$N96,'今日提醒'!$B$2&lt;=$O96),"一次排查",IF('今日提醒'!$B$2&lt;$N96,"未到排查",IF('今日提醒'!$B$2&lt;$L96,"等待下一窗口","已过"))))))))))))</x:f>
        <x:v>未到排查</x:v>
      </x:c>
      <x:c r="K96" s="41" t="str">
        <x:f>IF($J96="收尾下滑","主购买/高频窗口已过，流量可能走弱：不要盲目加预算或新建组；优先看库存压力、ACOS、广告占比、自然单，仅保留高转化词，计算清货/留仓。",IF($J96="节后清尾","节点已过但仍在清尾窗口：控低效词、降无效预算，复盘转化词；库存重则算清货，库存轻则吃完尾流。",IF($J96="节点当日","今天就是节点当日：优先看转化、库存承接、广告花费和尾流风险；可以吃最后一波有效流量，但不要再大范围新建或盲目加预算。",IF($J96="节点进行中","当前在节点/销售窗口内：这是进行中，不是预热；重点看销量、库存承接、广告花费、转化和是否已出现流量下滑。",IF($J96="高频跟进","今天在高频跟进窗口：头部SKU每日看；重点看高库存、高花费、断货风险和ACOS。",IF($J96="临近高频","高频窗口即将开始：今天先预查广告结构、关键词/ASIN、Listing埋词、库存承接和预算，避免临近节点再补。",IF($J96="大节气提前","大节气提前窗口：不要等高频当天再动；今天先锁定主推SKU、库存承接、Listing节日词、广告结构和预算上限，低相关/低库存产品不硬推。",IF($J96="二次排查","今天在二次排查窗口：补广告结构、关键词/ASIN、预算和Listing埋词。",IF($J96="临近二次","大节气二次排查即将开始：提前准备词/ASIN/图片/价格/促销，不等窗口当天才补结构。",IF($J96="一次排查","今天在一次排查窗口：先筛SKU，看历史动销、库存、利润和Listing匹配。",IF($J96="未到排查","暂不处理，等一次排查窗口。",IF($J96="等待下一窗口","暂不在排查窗口；等高频或节点开始，除非有库存/广告异常。","已过：复盘、降投、清尾或沉淀明年节点。"))))))))))))</x:f>
        <x:v>暂不处理，等一次排查窗口。</x:v>
      </x:c>
      <x:c r="L96" s="42" t="n">
        <x:v>46306</x:v>
      </x:c>
      <x:c r="M96" s="42" t="n">
        <x:v>46306</x:v>
      </x:c>
      <x:c r="N96" s="42" t="n">
        <x:v>46246</x:v>
      </x:c>
      <x:c r="O96" s="42" t="n">
        <x:v>46261</x:v>
      </x:c>
      <x:c r="P96" s="42" t="n">
        <x:v>46276</x:v>
      </x:c>
      <x:c r="Q96" s="42" t="n">
        <x:v>46285</x:v>
      </x:c>
      <x:c r="R96" s="42" t="n">
        <x:v>46292</x:v>
      </x:c>
      <x:c r="S96" s="42" t="n">
        <x:v>46308</x:v>
      </x:c>
      <x:c r="T96" s="43" t="n">
        <x:f>$L96-'今日提醒'!$B$2</x:f>
        <x:v>139</x:v>
      </x:c>
      <x:c r="U96" s="74" t="n">
        <x:f>IF(OR($J96="收尾下滑",$J96="节后清尾",$J96="节点当日",$J96="节点进行中",$J96="高频跟进",$J96="临近高频",$J96="大节气提前",$J96="二次排查",$J96="临近二次",$J96="一次排查"),IF($J96="收尾下滑",1,IF($J96="节后清尾",2,IF($J96="节点当日",3,IF($J96="节点进行中",4,IF($J96="高频跟进",5,IF($J96="临近高频",6,IF($J96="大节气提前",7,IF($J96="二次排查",8,IF($J96="临近二次",9,10)))))))))*100000+ROW(),99999999+ROW())</x:f>
        <x:v>100000095</x:v>
      </x:c>
      <x:c r="V96" s="15" t="str">
        <x:f>IF(OR($J96="收尾下滑",$J96="节后清尾"),"风险/止损",IF($J96="节点当日","机会/当日冲刺",IF($J96="节点进行中","机会/进行中",IF($J96="高频跟进","机会/高频",IF($J96="大节气提前","机会/大节气提前",IF(OR($J96="临近高频",$J96="临近二次",$J96="二次排查",$J96="一次排查"),"机会/预热","非今日"))))))</x:f>
        <x:v>非今日</x:v>
      </x:c>
      <x:c r="W96" s="15" t="str">
        <x:f>IF($J96="收尾下滑","控投/清尾/算留仓",IF($J96="节后清尾","节后降投/复盘",IF($J96="节点当日","当日冲刺/控尾流",IF($J96="节点进行中","转化监控/看趋势",IF($J96="高频跟进","放量+控ACOS",IF($J96="大节气提前","提前锁结构/预算",IF($J96="临近高频","预查结构/埋词",IF($J96="临近二次","提前补结构/埋词",IF($J96="二次排查","补结构/补词",IF($J96="一次排查","筛SKU/核库存","暂无"))))))))))</x:f>
        <x:v>暂无</x:v>
      </x:c>
      <x:c r="X96" s="15" t="str">
        <x:f>IF(AND('今日提醒'!$B$2&gt;=$L96,'今日提醒'!$B$2&lt;=$M96,$L96=$M96),"节点当日：不是预热",IF(AND('今日提醒'!$B$2&gt;=$L96,'今日提醒'!$B$2&lt;=$M96,'今日提醒'!$B$2&gt;$S96),"高频已结束但销售窗口未结束：疑似尾期/下滑",IF(AND('今日提醒'!$B$2&gt;$M96,'今日提醒'!$B$2&lt;=$S96),"节点已过但仍在清尾窗口",IF($J96="大节气提前","大节气高频前30天：提前进入主推准备",IF($J96="临近二次","大节气二次排查前14天：提前准备","")))))</x:f>
      </x:c>
    </x:row>
    <x:row r="97" ht="58" hidden="0" customHeight="1">
      <x:c r="A97" s="41" t="str">
        <x:v>Custodian Appreciation Day</x:v>
      </x:c>
      <x:c r="B97" s="41" t="str">
        <x:v>校工/保洁员感谢日</x:v>
      </x:c>
      <x:c r="C97" s="41" t="str">
        <x:v>感谢学校与机构清洁维护人员，适合custodian gift、thank you礼品。</x:v>
      </x:c>
      <x:c r="D97" s="41" t="str">
        <x:v>2026-10-02</x:v>
      </x:c>
      <x:c r="E97" s="41" t="str">
        <x:v>固定日期</x:v>
      </x:c>
      <x:c r="F97" s="41" t="str">
        <x:v>custodian/housekeeping/EVS gifts、thank you mug、tote、钥匙扣</x:v>
      </x:c>
      <x:c r="G97" s="41" t="str">
        <x:v>2026-08-03 ~ 2026-08-18：先筛匹配SKU、历史销量、库存和利润空间。</x:v>
      </x:c>
      <x:c r="H97" s="41" t="str">
        <x:v>2026-09-02 ~ 2026-09-11：补关键词/ASIN、Listing埋词和广告预算。</x:v>
      </x:c>
      <x:c r="I97" s="41" t="str">
        <x:v>2026-09-18 ~ 2026-10-04：重点SKU每日看，普通SKU每2-3天看。</x:v>
      </x:c>
      <x:c r="J97" s="41" t="str">
        <x:f>IF(AND('今日提醒'!$B$2&gt;=$L97,'今日提醒'!$B$2&lt;=$M97,$L97=$M97),"节点当日",IF(AND('今日提醒'!$B$2&gt;=$L97,'今日提醒'!$B$2&lt;=$M97,'今日提醒'!$B$2&gt;$S97),"收尾下滑",IF(AND('今日提醒'!$B$2&gt;=$L97,'今日提醒'!$B$2&lt;=$M97),"节点进行中",IF(AND('今日提醒'!$B$2&gt;$M97,'今日提醒'!$B$2&lt;=$S97),"节后清尾",IF(AND('今日提醒'!$B$2&gt;=$R97,'今日提醒'!$B$2&lt;=$S97),"高频跟进",IF(AND('今日提醒'!$B$2&gt;=($R97-14),'今日提醒'!$B$2&lt;$R97,'今日提醒'!$B$2&lt;$L97),"临近高频",IF(AND(OR($A97="Chinese New Year",$A97="Super Bowl",$A97="Valentine's Day",$A97="Valentine Week",$A97="St. Patrick's Day",$A97="Easter",$A97="Graduation Season",$A97="Prom Season",$A97="Teacher Appreciation Week",$A97="Mother's Day",$A97="Memorial Day",$A97="Father's Day",$A97="Independence Day",$A97="Back-to-School Season",$A97="Labor Day",$A97="Halloween",$A97="Thanksgiving",$A97="Black Friday / Cyber Monday",$A97="Christmas",$A97="New Year's Eve / New Year Season"),'今日提醒'!$B$2&gt;=($R97-30),'今日提醒'!$B$2&lt;$R97,'今日提醒'!$B$2&lt;$L97),"大节气提前",IF(AND('今日提醒'!$B$2&gt;=$P97,'今日提醒'!$B$2&lt;=$Q97),"二次排查",IF(AND(OR($A97="Chinese New Year",$A97="Super Bowl",$A97="Valentine's Day",$A97="Valentine Week",$A97="St. Patrick's Day",$A97="Easter",$A97="Graduation Season",$A97="Prom Season",$A97="Teacher Appreciation Week",$A97="Mother's Day",$A97="Memorial Day",$A97="Father's Day",$A97="Independence Day",$A97="Back-to-School Season",$A97="Labor Day",$A97="Halloween",$A97="Thanksgiving",$A97="Black Friday / Cyber Monday",$A97="Christmas",$A97="New Year's Eve / New Year Season"),'今日提醒'!$B$2&gt;=($P97-14),'今日提醒'!$B$2&lt;$P97,'今日提醒'!$B$2&lt;$L97),"临近二次",IF(AND('今日提醒'!$B$2&gt;=$N97,'今日提醒'!$B$2&lt;=$O97),"一次排查",IF('今日提醒'!$B$2&lt;$N97,"未到排查",IF('今日提醒'!$B$2&lt;$L97,"等待下一窗口","已过"))))))))))))</x:f>
        <x:v>未到排查</x:v>
      </x:c>
      <x:c r="K97" s="41" t="str">
        <x:f>IF($J97="收尾下滑","主购买/高频窗口已过，流量可能走弱：不要盲目加预算或新建组；优先看库存压力、ACOS、广告占比、自然单，仅保留高转化词，计算清货/留仓。",IF($J97="节后清尾","节点已过但仍在清尾窗口：控低效词、降无效预算，复盘转化词；库存重则算清货，库存轻则吃完尾流。",IF($J97="节点当日","今天就是节点当日：优先看转化、库存承接、广告花费和尾流风险；可以吃最后一波有效流量，但不要再大范围新建或盲目加预算。",IF($J97="节点进行中","当前在节点/销售窗口内：这是进行中，不是预热；重点看销量、库存承接、广告花费、转化和是否已出现流量下滑。",IF($J97="高频跟进","今天在高频跟进窗口：头部SKU每日看；重点看高库存、高花费、断货风险和ACOS。",IF($J97="临近高频","高频窗口即将开始：今天先预查广告结构、关键词/ASIN、Listing埋词、库存承接和预算，避免临近节点再补。",IF($J97="大节气提前","大节气提前窗口：不要等高频当天再动；今天先锁定主推SKU、库存承接、Listing节日词、广告结构和预算上限，低相关/低库存产品不硬推。",IF($J97="二次排查","今天在二次排查窗口：补广告结构、关键词/ASIN、预算和Listing埋词。",IF($J97="临近二次","大节气二次排查即将开始：提前准备词/ASIN/图片/价格/促销，不等窗口当天才补结构。",IF($J97="一次排查","今天在一次排查窗口：先筛SKU，看历史动销、库存、利润和Listing匹配。",IF($J97="未到排查","暂不处理，等一次排查窗口。",IF($J97="等待下一窗口","暂不在排查窗口；等高频或节点开始，除非有库存/广告异常。","已过：复盘、降投、清尾或沉淀明年节点。"))))))))))))</x:f>
        <x:v>暂不处理，等一次排查窗口。</x:v>
      </x:c>
      <x:c r="L97" s="42" t="n">
        <x:v>46297</x:v>
      </x:c>
      <x:c r="M97" s="42" t="n">
        <x:v>46297</x:v>
      </x:c>
      <x:c r="N97" s="42" t="n">
        <x:v>46237</x:v>
      </x:c>
      <x:c r="O97" s="42" t="n">
        <x:v>46252</x:v>
      </x:c>
      <x:c r="P97" s="42" t="n">
        <x:v>46267</x:v>
      </x:c>
      <x:c r="Q97" s="42" t="n">
        <x:v>46276</x:v>
      </x:c>
      <x:c r="R97" s="42" t="n">
        <x:v>46283</x:v>
      </x:c>
      <x:c r="S97" s="42" t="n">
        <x:v>46299</x:v>
      </x:c>
      <x:c r="T97" s="43" t="n">
        <x:f>$L97-'今日提醒'!$B$2</x:f>
        <x:v>130</x:v>
      </x:c>
      <x:c r="U97" s="74" t="n">
        <x:f>IF(OR($J97="收尾下滑",$J97="节后清尾",$J97="节点当日",$J97="节点进行中",$J97="高频跟进",$J97="临近高频",$J97="大节气提前",$J97="二次排查",$J97="临近二次",$J97="一次排查"),IF($J97="收尾下滑",1,IF($J97="节后清尾",2,IF($J97="节点当日",3,IF($J97="节点进行中",4,IF($J97="高频跟进",5,IF($J97="临近高频",6,IF($J97="大节气提前",7,IF($J97="二次排查",8,IF($J97="临近二次",9,10)))))))))*100000+ROW(),99999999+ROW())</x:f>
        <x:v>100000096</x:v>
      </x:c>
      <x:c r="V97" s="15" t="str">
        <x:f>IF(OR($J97="收尾下滑",$J97="节后清尾"),"风险/止损",IF($J97="节点当日","机会/当日冲刺",IF($J97="节点进行中","机会/进行中",IF($J97="高频跟进","机会/高频",IF($J97="大节气提前","机会/大节气提前",IF(OR($J97="临近高频",$J97="临近二次",$J97="二次排查",$J97="一次排查"),"机会/预热","非今日"))))))</x:f>
        <x:v>非今日</x:v>
      </x:c>
      <x:c r="W97" s="15" t="str">
        <x:f>IF($J97="收尾下滑","控投/清尾/算留仓",IF($J97="节后清尾","节后降投/复盘",IF($J97="节点当日","当日冲刺/控尾流",IF($J97="节点进行中","转化监控/看趋势",IF($J97="高频跟进","放量+控ACOS",IF($J97="大节气提前","提前锁结构/预算",IF($J97="临近高频","预查结构/埋词",IF($J97="临近二次","提前补结构/埋词",IF($J97="二次排查","补结构/补词",IF($J97="一次排查","筛SKU/核库存","暂无"))))))))))</x:f>
        <x:v>暂无</x:v>
      </x:c>
      <x:c r="X97" s="15" t="str">
        <x:f>IF(AND('今日提醒'!$B$2&gt;=$L97,'今日提醒'!$B$2&lt;=$M97,$L97=$M97),"节点当日：不是预热",IF(AND('今日提醒'!$B$2&gt;=$L97,'今日提醒'!$B$2&lt;=$M97,'今日提醒'!$B$2&gt;$S97),"高频已结束但销售窗口未结束：疑似尾期/下滑",IF(AND('今日提醒'!$B$2&gt;$M97,'今日提醒'!$B$2&lt;=$S97),"节点已过但仍在清尾窗口",IF($J97="大节气提前","大节气高频前30天：提前进入主推准备",IF($J97="临近二次","大节气二次排查前14天：提前准备","")))))</x:f>
      </x:c>
    </x:row>
    <x:row r="98" ht="58" hidden="0" customHeight="1">
      <x:c r="A98" s="41" t="str">
        <x:v>Customer Service Week</x:v>
      </x:c>
      <x:c r="B98" s="41" t="str">
        <x:v>客户服务周</x:v>
      </x:c>
      <x:c r="C98" s="41" t="str">
        <x:v>表彰客服、前台和客户支持团队，适合customer service appreciation礼品。</x:v>
      </x:c>
      <x:c r="D98" s="41" t="str">
        <x:v>2026-10-05 ~ 2026-10-09</x:v>
      </x:c>
      <x:c r="E98" s="41" t="str">
        <x:v>每年变动</x:v>
      </x:c>
      <x:c r="F98" s="41" t="str">
        <x:v>customer service gifts、team appreciation bulk gifts、办公小礼</x:v>
      </x:c>
      <x:c r="G98" s="41" t="str">
        <x:v>2026-07-22 ~ 2026-08-06：按职业词筛SKU，核库存、历史动销和礼品适配。</x:v>
      </x:c>
      <x:c r="H98" s="41" t="str">
        <x:v>2026-08-26 ~ 2026-09-05：建/补广告组，补关键词/ASIN，处理低效流量。</x:v>
      </x:c>
      <x:c r="I98" s="41" t="str">
        <x:v>2026-09-21 ~ 2026-10-09：高库存/高花费SKU每日看，其余2-3天看。</x:v>
      </x:c>
      <x:c r="J98" s="41" t="str">
        <x:f>IF(AND('今日提醒'!$B$2&gt;=$L98,'今日提醒'!$B$2&lt;=$M98,$L98=$M98),"节点当日",IF(AND('今日提醒'!$B$2&gt;=$L98,'今日提醒'!$B$2&lt;=$M98,'今日提醒'!$B$2&gt;$S98),"收尾下滑",IF(AND('今日提醒'!$B$2&gt;=$L98,'今日提醒'!$B$2&lt;=$M98),"节点进行中",IF(AND('今日提醒'!$B$2&gt;$M98,'今日提醒'!$B$2&lt;=$S98),"节后清尾",IF(AND('今日提醒'!$B$2&gt;=$R98,'今日提醒'!$B$2&lt;=$S98),"高频跟进",IF(AND('今日提醒'!$B$2&gt;=($R98-14),'今日提醒'!$B$2&lt;$R98,'今日提醒'!$B$2&lt;$L98),"临近高频",IF(AND(OR($A98="Chinese New Year",$A98="Super Bowl",$A98="Valentine's Day",$A98="Valentine Week",$A98="St. Patrick's Day",$A98="Easter",$A98="Graduation Season",$A98="Prom Season",$A98="Teacher Appreciation Week",$A98="Mother's Day",$A98="Memorial Day",$A98="Father's Day",$A98="Independence Day",$A98="Back-to-School Season",$A98="Labor Day",$A98="Halloween",$A98="Thanksgiving",$A98="Black Friday / Cyber Monday",$A98="Christmas",$A98="New Year's Eve / New Year Season"),'今日提醒'!$B$2&gt;=($R98-30),'今日提醒'!$B$2&lt;$R98,'今日提醒'!$B$2&lt;$L98),"大节气提前",IF(AND('今日提醒'!$B$2&gt;=$P98,'今日提醒'!$B$2&lt;=$Q98),"二次排查",IF(AND(OR($A98="Chinese New Year",$A98="Super Bowl",$A98="Valentine's Day",$A98="Valentine Week",$A98="St. Patrick's Day",$A98="Easter",$A98="Graduation Season",$A98="Prom Season",$A98="Teacher Appreciation Week",$A98="Mother's Day",$A98="Memorial Day",$A98="Father's Day",$A98="Independence Day",$A98="Back-to-School Season",$A98="Labor Day",$A98="Halloween",$A98="Thanksgiving",$A98="Black Friday / Cyber Monday",$A98="Christmas",$A98="New Year's Eve / New Year Season"),'今日提醒'!$B$2&gt;=($P98-14),'今日提醒'!$B$2&lt;$P98,'今日提醒'!$B$2&lt;$L98),"临近二次",IF(AND('今日提醒'!$B$2&gt;=$N98,'今日提醒'!$B$2&lt;=$O98),"一次排查",IF('今日提醒'!$B$2&lt;$N98,"未到排查",IF('今日提醒'!$B$2&lt;$L98,"等待下一窗口","已过"))))))))))))</x:f>
        <x:v>未到排查</x:v>
      </x:c>
      <x:c r="K98" s="41" t="str">
        <x:f>IF($J98="收尾下滑","主购买/高频窗口已过，流量可能走弱：不要盲目加预算或新建组；优先看库存压力、ACOS、广告占比、自然单，仅保留高转化词，计算清货/留仓。",IF($J98="节后清尾","节点已过但仍在清尾窗口：控低效词、降无效预算，复盘转化词；库存重则算清货，库存轻则吃完尾流。",IF($J98="节点当日","今天就是节点当日：优先看转化、库存承接、广告花费和尾流风险；可以吃最后一波有效流量，但不要再大范围新建或盲目加预算。",IF($J98="节点进行中","当前在节点/销售窗口内：这是进行中，不是预热；重点看销量、库存承接、广告花费、转化和是否已出现流量下滑。",IF($J98="高频跟进","今天在高频跟进窗口：头部SKU每日看；重点看高库存、高花费、断货风险和ACOS。",IF($J98="临近高频","高频窗口即将开始：今天先预查广告结构、关键词/ASIN、Listing埋词、库存承接和预算，避免临近节点再补。",IF($J98="大节气提前","大节气提前窗口：不要等高频当天再动；今天先锁定主推SKU、库存承接、Listing节日词、广告结构和预算上限，低相关/低库存产品不硬推。",IF($J98="二次排查","今天在二次排查窗口：补广告结构、关键词/ASIN、预算和Listing埋词。",IF($J98="临近二次","大节气二次排查即将开始：提前准备词/ASIN/图片/价格/促销，不等窗口当天才补结构。",IF($J98="一次排查","今天在一次排查窗口：先筛SKU，看历史动销、库存、利润和Listing匹配。",IF($J98="未到排查","暂不处理，等一次排查窗口。",IF($J98="等待下一窗口","暂不在排查窗口；等高频或节点开始，除非有库存/广告异常。","已过：复盘、降投、清尾或沉淀明年节点。"))))))))))))</x:f>
        <x:v>暂不处理，等一次排查窗口。</x:v>
      </x:c>
      <x:c r="L98" s="42" t="n">
        <x:v>46300</x:v>
      </x:c>
      <x:c r="M98" s="42" t="n">
        <x:v>46304</x:v>
      </x:c>
      <x:c r="N98" s="42" t="n">
        <x:v>46225</x:v>
      </x:c>
      <x:c r="O98" s="42" t="n">
        <x:v>46240</x:v>
      </x:c>
      <x:c r="P98" s="42" t="n">
        <x:v>46260</x:v>
      </x:c>
      <x:c r="Q98" s="42" t="n">
        <x:v>46270</x:v>
      </x:c>
      <x:c r="R98" s="42" t="n">
        <x:v>46286</x:v>
      </x:c>
      <x:c r="S98" s="42" t="n">
        <x:v>46304</x:v>
      </x:c>
      <x:c r="T98" s="43" t="n">
        <x:f>$L98-'今日提醒'!$B$2</x:f>
        <x:v>133</x:v>
      </x:c>
      <x:c r="U98" s="74" t="n">
        <x:f>IF(OR($J98="收尾下滑",$J98="节后清尾",$J98="节点当日",$J98="节点进行中",$J98="高频跟进",$J98="临近高频",$J98="大节气提前",$J98="二次排查",$J98="临近二次",$J98="一次排查"),IF($J98="收尾下滑",1,IF($J98="节后清尾",2,IF($J98="节点当日",3,IF($J98="节点进行中",4,IF($J98="高频跟进",5,IF($J98="临近高频",6,IF($J98="大节气提前",7,IF($J98="二次排查",8,IF($J98="临近二次",9,10)))))))))*100000+ROW(),99999999+ROW())</x:f>
        <x:v>100000097</x:v>
      </x:c>
      <x:c r="V98" s="15" t="str">
        <x:f>IF(OR($J98="收尾下滑",$J98="节后清尾"),"风险/止损",IF($J98="节点当日","机会/当日冲刺",IF($J98="节点进行中","机会/进行中",IF($J98="高频跟进","机会/高频",IF($J98="大节气提前","机会/大节气提前",IF(OR($J98="临近高频",$J98="临近二次",$J98="二次排查",$J98="一次排查"),"机会/预热","非今日"))))))</x:f>
        <x:v>非今日</x:v>
      </x:c>
      <x:c r="W98" s="15" t="str">
        <x:f>IF($J98="收尾下滑","控投/清尾/算留仓",IF($J98="节后清尾","节后降投/复盘",IF($J98="节点当日","当日冲刺/控尾流",IF($J98="节点进行中","转化监控/看趋势",IF($J98="高频跟进","放量+控ACOS",IF($J98="大节气提前","提前锁结构/预算",IF($J98="临近高频","预查结构/埋词",IF($J98="临近二次","提前补结构/埋词",IF($J98="二次排查","补结构/补词",IF($J98="一次排查","筛SKU/核库存","暂无"))))))))))</x:f>
        <x:v>暂无</x:v>
      </x:c>
      <x:c r="X98" s="15" t="str">
        <x:f>IF(AND('今日提醒'!$B$2&gt;=$L98,'今日提醒'!$B$2&lt;=$M98,$L98=$M98),"节点当日：不是预热",IF(AND('今日提醒'!$B$2&gt;=$L98,'今日提醒'!$B$2&lt;=$M98,'今日提醒'!$B$2&gt;$S98),"高频已结束但销售窗口未结束：疑似尾期/下滑",IF(AND('今日提醒'!$B$2&gt;$M98,'今日提醒'!$B$2&lt;=$S98),"节点已过但仍在清尾窗口",IF($J98="大节气提前","大节气高频前30天：提前进入主推准备",IF($J98="临近二次","大节气二次排查前14天：提前准备","")))))</x:f>
      </x:c>
    </x:row>
    <x:row r="99" ht="58" hidden="0" customHeight="1">
      <x:c r="A99" s="41" t="str">
        <x:v>Food Service Week</x:v>
      </x:c>
      <x:c r="B99" s="41" t="str">
        <x:v>餐饮服务周</x:v>
      </x:c>
      <x:c r="C99" s="41" t="str">
        <x:v>表彰餐饮、食堂和food service工作人员，适合food service gifts。</x:v>
      </x:c>
      <x:c r="D99" s="41" t="str">
        <x:v>2026-10-04 ~ 2026-10-10</x:v>
      </x:c>
      <x:c r="E99" s="41" t="str">
        <x:v>每年变动：按10月第一个完整周取窗口</x:v>
      </x:c>
      <x:c r="F99" s="41" t="str">
        <x:v>food service worker gifts、kitchen/restaurant staff感谢礼</x:v>
      </x:c>
      <x:c r="G99" s="41" t="str">
        <x:v>2026-07-21 ~ 2026-08-05：按职业词筛SKU，核库存、历史动销和礼品适配。</x:v>
      </x:c>
      <x:c r="H99" s="41" t="str">
        <x:v>2026-08-25 ~ 2026-09-04：建/补广告组，补关键词/ASIN，处理低效流量。</x:v>
      </x:c>
      <x:c r="I99" s="41" t="str">
        <x:v>2026-09-20 ~ 2026-10-10：高库存/高花费SKU每日看，其余2-3天看。</x:v>
      </x:c>
      <x:c r="J99" s="41" t="str">
        <x:f>IF(AND('今日提醒'!$B$2&gt;=$L99,'今日提醒'!$B$2&lt;=$M99,$L99=$M99),"节点当日",IF(AND('今日提醒'!$B$2&gt;=$L99,'今日提醒'!$B$2&lt;=$M99,'今日提醒'!$B$2&gt;$S99),"收尾下滑",IF(AND('今日提醒'!$B$2&gt;=$L99,'今日提醒'!$B$2&lt;=$M99),"节点进行中",IF(AND('今日提醒'!$B$2&gt;$M99,'今日提醒'!$B$2&lt;=$S99),"节后清尾",IF(AND('今日提醒'!$B$2&gt;=$R99,'今日提醒'!$B$2&lt;=$S99),"高频跟进",IF(AND('今日提醒'!$B$2&gt;=($R99-14),'今日提醒'!$B$2&lt;$R99,'今日提醒'!$B$2&lt;$L99),"临近高频",IF(AND(OR($A99="Chinese New Year",$A99="Super Bowl",$A99="Valentine's Day",$A99="Valentine Week",$A99="St. Patrick's Day",$A99="Easter",$A99="Graduation Season",$A99="Prom Season",$A99="Teacher Appreciation Week",$A99="Mother's Day",$A99="Memorial Day",$A99="Father's Day",$A99="Independence Day",$A99="Back-to-School Season",$A99="Labor Day",$A99="Halloween",$A99="Thanksgiving",$A99="Black Friday / Cyber Monday",$A99="Christmas",$A99="New Year's Eve / New Year Season"),'今日提醒'!$B$2&gt;=($R99-30),'今日提醒'!$B$2&lt;$R99,'今日提醒'!$B$2&lt;$L99),"大节气提前",IF(AND('今日提醒'!$B$2&gt;=$P99,'今日提醒'!$B$2&lt;=$Q99),"二次排查",IF(AND(OR($A99="Chinese New Year",$A99="Super Bowl",$A99="Valentine's Day",$A99="Valentine Week",$A99="St. Patrick's Day",$A99="Easter",$A99="Graduation Season",$A99="Prom Season",$A99="Teacher Appreciation Week",$A99="Mother's Day",$A99="Memorial Day",$A99="Father's Day",$A99="Independence Day",$A99="Back-to-School Season",$A99="Labor Day",$A99="Halloween",$A99="Thanksgiving",$A99="Black Friday / Cyber Monday",$A99="Christmas",$A99="New Year's Eve / New Year Season"),'今日提醒'!$B$2&gt;=($P99-14),'今日提醒'!$B$2&lt;$P99,'今日提醒'!$B$2&lt;$L99),"临近二次",IF(AND('今日提醒'!$B$2&gt;=$N99,'今日提醒'!$B$2&lt;=$O99),"一次排查",IF('今日提醒'!$B$2&lt;$N99,"未到排查",IF('今日提醒'!$B$2&lt;$L99,"等待下一窗口","已过"))))))))))))</x:f>
        <x:v>未到排查</x:v>
      </x:c>
      <x:c r="K99" s="41" t="str">
        <x:f>IF($J99="收尾下滑","主购买/高频窗口已过，流量可能走弱：不要盲目加预算或新建组；优先看库存压力、ACOS、广告占比、自然单，仅保留高转化词，计算清货/留仓。",IF($J99="节后清尾","节点已过但仍在清尾窗口：控低效词、降无效预算，复盘转化词；库存重则算清货，库存轻则吃完尾流。",IF($J99="节点当日","今天就是节点当日：优先看转化、库存承接、广告花费和尾流风险；可以吃最后一波有效流量，但不要再大范围新建或盲目加预算。",IF($J99="节点进行中","当前在节点/销售窗口内：这是进行中，不是预热；重点看销量、库存承接、广告花费、转化和是否已出现流量下滑。",IF($J99="高频跟进","今天在高频跟进窗口：头部SKU每日看；重点看高库存、高花费、断货风险和ACOS。",IF($J99="临近高频","高频窗口即将开始：今天先预查广告结构、关键词/ASIN、Listing埋词、库存承接和预算，避免临近节点再补。",IF($J99="大节气提前","大节气提前窗口：不要等高频当天再动；今天先锁定主推SKU、库存承接、Listing节日词、广告结构和预算上限，低相关/低库存产品不硬推。",IF($J99="二次排查","今天在二次排查窗口：补广告结构、关键词/ASIN、预算和Listing埋词。",IF($J99="临近二次","大节气二次排查即将开始：提前准备词/ASIN/图片/价格/促销，不等窗口当天才补结构。",IF($J99="一次排查","今天在一次排查窗口：先筛SKU，看历史动销、库存、利润和Listing匹配。",IF($J99="未到排查","暂不处理，等一次排查窗口。",IF($J99="等待下一窗口","暂不在排查窗口；等高频或节点开始，除非有库存/广告异常。","已过：复盘、降投、清尾或沉淀明年节点。"))))))))))))</x:f>
        <x:v>暂不处理，等一次排查窗口。</x:v>
      </x:c>
      <x:c r="L99" s="42" t="n">
        <x:v>46299</x:v>
      </x:c>
      <x:c r="M99" s="42" t="n">
        <x:v>46305</x:v>
      </x:c>
      <x:c r="N99" s="42" t="n">
        <x:v>46224</x:v>
      </x:c>
      <x:c r="O99" s="42" t="n">
        <x:v>46239</x:v>
      </x:c>
      <x:c r="P99" s="42" t="n">
        <x:v>46259</x:v>
      </x:c>
      <x:c r="Q99" s="42" t="n">
        <x:v>46269</x:v>
      </x:c>
      <x:c r="R99" s="42" t="n">
        <x:v>46285</x:v>
      </x:c>
      <x:c r="S99" s="42" t="n">
        <x:v>46305</x:v>
      </x:c>
      <x:c r="T99" s="43" t="n">
        <x:f>$L99-'今日提醒'!$B$2</x:f>
        <x:v>132</x:v>
      </x:c>
      <x:c r="U99" s="74" t="n">
        <x:f>IF(OR($J99="收尾下滑",$J99="节后清尾",$J99="节点当日",$J99="节点进行中",$J99="高频跟进",$J99="临近高频",$J99="大节气提前",$J99="二次排查",$J99="临近二次",$J99="一次排查"),IF($J99="收尾下滑",1,IF($J99="节后清尾",2,IF($J99="节点当日",3,IF($J99="节点进行中",4,IF($J99="高频跟进",5,IF($J99="临近高频",6,IF($J99="大节气提前",7,IF($J99="二次排查",8,IF($J99="临近二次",9,10)))))))))*100000+ROW(),99999999+ROW())</x:f>
        <x:v>100000098</x:v>
      </x:c>
      <x:c r="V99" s="15" t="str">
        <x:f>IF(OR($J99="收尾下滑",$J99="节后清尾"),"风险/止损",IF($J99="节点当日","机会/当日冲刺",IF($J99="节点进行中","机会/进行中",IF($J99="高频跟进","机会/高频",IF($J99="大节气提前","机会/大节气提前",IF(OR($J99="临近高频",$J99="临近二次",$J99="二次排查",$J99="一次排查"),"机会/预热","非今日"))))))</x:f>
        <x:v>非今日</x:v>
      </x:c>
      <x:c r="W99" s="15" t="str">
        <x:f>IF($J99="收尾下滑","控投/清尾/算留仓",IF($J99="节后清尾","节后降投/复盘",IF($J99="节点当日","当日冲刺/控尾流",IF($J99="节点进行中","转化监控/看趋势",IF($J99="高频跟进","放量+控ACOS",IF($J99="大节气提前","提前锁结构/预算",IF($J99="临近高频","预查结构/埋词",IF($J99="临近二次","提前补结构/埋词",IF($J99="二次排查","补结构/补词",IF($J99="一次排查","筛SKU/核库存","暂无"))))))))))</x:f>
        <x:v>暂无</x:v>
      </x:c>
      <x:c r="X99" s="15" t="str">
        <x:f>IF(AND('今日提醒'!$B$2&gt;=$L99,'今日提醒'!$B$2&lt;=$M99,$L99=$M99),"节点当日：不是预热",IF(AND('今日提醒'!$B$2&gt;=$L99,'今日提醒'!$B$2&lt;=$M99,'今日提醒'!$B$2&gt;$S99),"高频已结束但销售窗口未结束：疑似尾期/下滑",IF(AND('今日提醒'!$B$2&gt;$M99,'今日提醒'!$B$2&lt;=$S99),"节点已过但仍在清尾窗口",IF($J99="大节气提前","大节气高频前30天：提前进入主推准备",IF($J99="临近二次","大节气二次排查前14天：提前准备","")))))</x:f>
      </x:c>
    </x:row>
    <x:row r="100" ht="58" hidden="0" customHeight="1">
      <x:c r="A100" s="41" t="str">
        <x:v>World Mental Health Day</x:v>
      </x:c>
      <x:c r="B100" s="41" t="str">
        <x:v>世界心理健康日</x:v>
      </x:c>
      <x:c r="C100" s="41" t="str">
        <x:v>全球心理健康宣传节点，适合mental health、support、awareness主题。</x:v>
      </x:c>
      <x:c r="D100" s="41" t="str">
        <x:v>2026-10-10</x:v>
      </x:c>
      <x:c r="E100" s="41" t="str">
        <x:v>固定日期</x:v>
      </x:c>
      <x:c r="F100" s="41" t="str">
        <x:v>意识/支持类产品：丝带、手链、鼓励卡、贴纸；敏感节点商业化要克制</x:v>
      </x:c>
      <x:c r="G100" s="41" t="str">
        <x:v>2026-07-12 ~ 2026-07-27：先确认产品真实匹配，避免硬蹭敏感议题。</x:v>
      </x:c>
      <x:c r="H100" s="41" t="str">
        <x:v>2026-08-26 ~ 2026-09-05：检查图片/文案/关键词是否克制且合规。</x:v>
      </x:c>
      <x:c r="I100" s="41" t="str">
        <x:v>2026-09-26 ~ 2026-10-10：每2-3天看；表现差或表达风险高就停。</x:v>
      </x:c>
      <x:c r="J100" s="41" t="str">
        <x:f>IF(AND('今日提醒'!$B$2&gt;=$L100,'今日提醒'!$B$2&lt;=$M100,$L100=$M100),"节点当日",IF(AND('今日提醒'!$B$2&gt;=$L100,'今日提醒'!$B$2&lt;=$M100,'今日提醒'!$B$2&gt;$S100),"收尾下滑",IF(AND('今日提醒'!$B$2&gt;=$L100,'今日提醒'!$B$2&lt;=$M100),"节点进行中",IF(AND('今日提醒'!$B$2&gt;$M100,'今日提醒'!$B$2&lt;=$S100),"节后清尾",IF(AND('今日提醒'!$B$2&gt;=$R100,'今日提醒'!$B$2&lt;=$S100),"高频跟进",IF(AND('今日提醒'!$B$2&gt;=($R100-14),'今日提醒'!$B$2&lt;$R100,'今日提醒'!$B$2&lt;$L100),"临近高频",IF(AND(OR($A100="Chinese New Year",$A100="Super Bowl",$A100="Valentine's Day",$A100="Valentine Week",$A100="St. Patrick's Day",$A100="Easter",$A100="Graduation Season",$A100="Prom Season",$A100="Teacher Appreciation Week",$A100="Mother's Day",$A100="Memorial Day",$A100="Father's Day",$A100="Independence Day",$A100="Back-to-School Season",$A100="Labor Day",$A100="Halloween",$A100="Thanksgiving",$A100="Black Friday / Cyber Monday",$A100="Christmas",$A100="New Year's Eve / New Year Season"),'今日提醒'!$B$2&gt;=($R100-30),'今日提醒'!$B$2&lt;$R100,'今日提醒'!$B$2&lt;$L100),"大节气提前",IF(AND('今日提醒'!$B$2&gt;=$P100,'今日提醒'!$B$2&lt;=$Q100),"二次排查",IF(AND(OR($A100="Chinese New Year",$A100="Super Bowl",$A100="Valentine's Day",$A100="Valentine Week",$A100="St. Patrick's Day",$A100="Easter",$A100="Graduation Season",$A100="Prom Season",$A100="Teacher Appreciation Week",$A100="Mother's Day",$A100="Memorial Day",$A100="Father's Day",$A100="Independence Day",$A100="Back-to-School Season",$A100="Labor Day",$A100="Halloween",$A100="Thanksgiving",$A100="Black Friday / Cyber Monday",$A100="Christmas",$A100="New Year's Eve / New Year Season"),'今日提醒'!$B$2&gt;=($P100-14),'今日提醒'!$B$2&lt;$P100,'今日提醒'!$B$2&lt;$L100),"临近二次",IF(AND('今日提醒'!$B$2&gt;=$N100,'今日提醒'!$B$2&lt;=$O100),"一次排查",IF('今日提醒'!$B$2&lt;$N100,"未到排查",IF('今日提醒'!$B$2&lt;$L100,"等待下一窗口","已过"))))))))))))</x:f>
        <x:v>未到排查</x:v>
      </x:c>
      <x:c r="K100" s="41" t="str">
        <x:f>IF($J100="收尾下滑","主购买/高频窗口已过，流量可能走弱：不要盲目加预算或新建组；优先看库存压力、ACOS、广告占比、自然单，仅保留高转化词，计算清货/留仓。",IF($J100="节后清尾","节点已过但仍在清尾窗口：控低效词、降无效预算，复盘转化词；库存重则算清货，库存轻则吃完尾流。",IF($J100="节点当日","今天就是节点当日：优先看转化、库存承接、广告花费和尾流风险；可以吃最后一波有效流量，但不要再大范围新建或盲目加预算。",IF($J100="节点进行中","当前在节点/销售窗口内：这是进行中，不是预热；重点看销量、库存承接、广告花费、转化和是否已出现流量下滑。",IF($J100="高频跟进","今天在高频跟进窗口：头部SKU每日看；重点看高库存、高花费、断货风险和ACOS。",IF($J100="临近高频","高频窗口即将开始：今天先预查广告结构、关键词/ASIN、Listing埋词、库存承接和预算，避免临近节点再补。",IF($J100="大节气提前","大节气提前窗口：不要等高频当天再动；今天先锁定主推SKU、库存承接、Listing节日词、广告结构和预算上限，低相关/低库存产品不硬推。",IF($J100="二次排查","今天在二次排查窗口：补广告结构、关键词/ASIN、预算和Listing埋词。",IF($J100="临近二次","大节气二次排查即将开始：提前准备词/ASIN/图片/价格/促销，不等窗口当天才补结构。",IF($J100="一次排查","今天在一次排查窗口：先筛SKU，看历史动销、库存、利润和Listing匹配。",IF($J100="未到排查","暂不处理，等一次排查窗口。",IF($J100="等待下一窗口","暂不在排查窗口；等高频或节点开始，除非有库存/广告异常。","已过：复盘、降投、清尾或沉淀明年节点。"))))))))))))</x:f>
        <x:v>暂不处理，等一次排查窗口。</x:v>
      </x:c>
      <x:c r="L100" s="42" t="n">
        <x:v>46305</x:v>
      </x:c>
      <x:c r="M100" s="42" t="n">
        <x:v>46305</x:v>
      </x:c>
      <x:c r="N100" s="42" t="n">
        <x:v>46215</x:v>
      </x:c>
      <x:c r="O100" s="42" t="n">
        <x:v>46230</x:v>
      </x:c>
      <x:c r="P100" s="42" t="n">
        <x:v>46260</x:v>
      </x:c>
      <x:c r="Q100" s="42" t="n">
        <x:v>46270</x:v>
      </x:c>
      <x:c r="R100" s="42" t="n">
        <x:v>46291</x:v>
      </x:c>
      <x:c r="S100" s="42" t="n">
        <x:v>46305</x:v>
      </x:c>
      <x:c r="T100" s="43" t="n">
        <x:f>$L100-'今日提醒'!$B$2</x:f>
        <x:v>138</x:v>
      </x:c>
      <x:c r="U100" s="74" t="n">
        <x:f>IF(OR($J100="收尾下滑",$J100="节后清尾",$J100="节点当日",$J100="节点进行中",$J100="高频跟进",$J100="临近高频",$J100="大节气提前",$J100="二次排查",$J100="临近二次",$J100="一次排查"),IF($J100="收尾下滑",1,IF($J100="节后清尾",2,IF($J100="节点当日",3,IF($J100="节点进行中",4,IF($J100="高频跟进",5,IF($J100="临近高频",6,IF($J100="大节气提前",7,IF($J100="二次排查",8,IF($J100="临近二次",9,10)))))))))*100000+ROW(),99999999+ROW())</x:f>
        <x:v>100000099</x:v>
      </x:c>
      <x:c r="V100" s="15" t="str">
        <x:f>IF(OR($J100="收尾下滑",$J100="节后清尾"),"风险/止损",IF($J100="节点当日","机会/当日冲刺",IF($J100="节点进行中","机会/进行中",IF($J100="高频跟进","机会/高频",IF($J100="大节气提前","机会/大节气提前",IF(OR($J100="临近高频",$J100="临近二次",$J100="二次排查",$J100="一次排查"),"机会/预热","非今日"))))))</x:f>
        <x:v>非今日</x:v>
      </x:c>
      <x:c r="W100" s="15" t="str">
        <x:f>IF($J100="收尾下滑","控投/清尾/算留仓",IF($J100="节后清尾","节后降投/复盘",IF($J100="节点当日","当日冲刺/控尾流",IF($J100="节点进行中","转化监控/看趋势",IF($J100="高频跟进","放量+控ACOS",IF($J100="大节气提前","提前锁结构/预算",IF($J100="临近高频","预查结构/埋词",IF($J100="临近二次","提前补结构/埋词",IF($J100="二次排查","补结构/补词",IF($J100="一次排查","筛SKU/核库存","暂无"))))))))))</x:f>
        <x:v>暂无</x:v>
      </x:c>
      <x:c r="X100" s="15" t="str">
        <x:f>IF(AND('今日提醒'!$B$2&gt;=$L100,'今日提醒'!$B$2&lt;=$M100,$L100=$M100),"节点当日：不是预热",IF(AND('今日提醒'!$B$2&gt;=$L100,'今日提醒'!$B$2&lt;=$M100,'今日提醒'!$B$2&gt;$S100),"高频已结束但销售窗口未结束：疑似尾期/下滑",IF(AND('今日提醒'!$B$2&gt;$M100,'今日提醒'!$B$2&lt;=$S100),"节点已过但仍在清尾窗口",IF($J100="大节气提前","大节气高频前30天：提前进入主推准备",IF($J100="临近二次","大节气二次排查前14天：提前准备","")))))</x:f>
      </x:c>
    </x:row>
    <x:row r="101" ht="58" hidden="0" customHeight="1">
      <x:c r="A101" s="41" t="str">
        <x:v>Case Management Week</x:v>
      </x:c>
      <x:c r="B101" s="41" t="str">
        <x:v>个案管理周</x:v>
      </x:c>
      <x:c r="C101" s="41" t="str">
        <x:v>表彰医院与保险体系中的case manager，适合case management gifts。</x:v>
      </x:c>
      <x:c r="D101" s="41" t="str">
        <x:v>2026-10-11 ~ 2026-10-17</x:v>
      </x:c>
      <x:c r="E101" s="41" t="str">
        <x:v>每年变动</x:v>
      </x:c>
      <x:c r="F101" s="41" t="str">
        <x:v>hospital staff gifts、healthcare worker bulk gifts、感谢卡/钥匙扣</x:v>
      </x:c>
      <x:c r="G101" s="41" t="str">
        <x:v>2026-07-28 ~ 2026-08-12：按职业词筛SKU，核库存、历史动销和礼品适配。</x:v>
      </x:c>
      <x:c r="H101" s="41" t="str">
        <x:v>2026-09-01 ~ 2026-09-11：建/补广告组，补关键词/ASIN，处理低效流量。</x:v>
      </x:c>
      <x:c r="I101" s="41" t="str">
        <x:v>2026-09-27 ~ 2026-10-17：高库存/高花费SKU每日看，其余2-3天看。</x:v>
      </x:c>
      <x:c r="J101" s="41" t="str">
        <x:f>IF(AND('今日提醒'!$B$2&gt;=$L101,'今日提醒'!$B$2&lt;=$M101,$L101=$M101),"节点当日",IF(AND('今日提醒'!$B$2&gt;=$L101,'今日提醒'!$B$2&lt;=$M101,'今日提醒'!$B$2&gt;$S101),"收尾下滑",IF(AND('今日提醒'!$B$2&gt;=$L101,'今日提醒'!$B$2&lt;=$M101),"节点进行中",IF(AND('今日提醒'!$B$2&gt;$M101,'今日提醒'!$B$2&lt;=$S101),"节后清尾",IF(AND('今日提醒'!$B$2&gt;=$R101,'今日提醒'!$B$2&lt;=$S101),"高频跟进",IF(AND('今日提醒'!$B$2&gt;=($R101-14),'今日提醒'!$B$2&lt;$R101,'今日提醒'!$B$2&lt;$L101),"临近高频",IF(AND(OR($A101="Chinese New Year",$A101="Super Bowl",$A101="Valentine's Day",$A101="Valentine Week",$A101="St. Patrick's Day",$A101="Easter",$A101="Graduation Season",$A101="Prom Season",$A101="Teacher Appreciation Week",$A101="Mother's Day",$A101="Memorial Day",$A101="Father's Day",$A101="Independence Day",$A101="Back-to-School Season",$A101="Labor Day",$A101="Halloween",$A101="Thanksgiving",$A101="Black Friday / Cyber Monday",$A101="Christmas",$A101="New Year's Eve / New Year Season"),'今日提醒'!$B$2&gt;=($R101-30),'今日提醒'!$B$2&lt;$R101,'今日提醒'!$B$2&lt;$L101),"大节气提前",IF(AND('今日提醒'!$B$2&gt;=$P101,'今日提醒'!$B$2&lt;=$Q101),"二次排查",IF(AND(OR($A101="Chinese New Year",$A101="Super Bowl",$A101="Valentine's Day",$A101="Valentine Week",$A101="St. Patrick's Day",$A101="Easter",$A101="Graduation Season",$A101="Prom Season",$A101="Teacher Appreciation Week",$A101="Mother's Day",$A101="Memorial Day",$A101="Father's Day",$A101="Independence Day",$A101="Back-to-School Season",$A101="Labor Day",$A101="Halloween",$A101="Thanksgiving",$A101="Black Friday / Cyber Monday",$A101="Christmas",$A101="New Year's Eve / New Year Season"),'今日提醒'!$B$2&gt;=($P101-14),'今日提醒'!$B$2&lt;$P101,'今日提醒'!$B$2&lt;$L101),"临近二次",IF(AND('今日提醒'!$B$2&gt;=$N101,'今日提醒'!$B$2&lt;=$O101),"一次排查",IF('今日提醒'!$B$2&lt;$N101,"未到排查",IF('今日提醒'!$B$2&lt;$L101,"等待下一窗口","已过"))))))))))))</x:f>
        <x:v>未到排查</x:v>
      </x:c>
      <x:c r="K101" s="41" t="str">
        <x:f>IF($J101="收尾下滑","主购买/高频窗口已过，流量可能走弱：不要盲目加预算或新建组；优先看库存压力、ACOS、广告占比、自然单，仅保留高转化词，计算清货/留仓。",IF($J101="节后清尾","节点已过但仍在清尾窗口：控低效词、降无效预算，复盘转化词；库存重则算清货，库存轻则吃完尾流。",IF($J101="节点当日","今天就是节点当日：优先看转化、库存承接、广告花费和尾流风险；可以吃最后一波有效流量，但不要再大范围新建或盲目加预算。",IF($J101="节点进行中","当前在节点/销售窗口内：这是进行中，不是预热；重点看销量、库存承接、广告花费、转化和是否已出现流量下滑。",IF($J101="高频跟进","今天在高频跟进窗口：头部SKU每日看；重点看高库存、高花费、断货风险和ACOS。",IF($J101="临近高频","高频窗口即将开始：今天先预查广告结构、关键词/ASIN、Listing埋词、库存承接和预算，避免临近节点再补。",IF($J101="大节气提前","大节气提前窗口：不要等高频当天再动；今天先锁定主推SKU、库存承接、Listing节日词、广告结构和预算上限，低相关/低库存产品不硬推。",IF($J101="二次排查","今天在二次排查窗口：补广告结构、关键词/ASIN、预算和Listing埋词。",IF($J101="临近二次","大节气二次排查即将开始：提前准备词/ASIN/图片/价格/促销，不等窗口当天才补结构。",IF($J101="一次排查","今天在一次排查窗口：先筛SKU，看历史动销、库存、利润和Listing匹配。",IF($J101="未到排查","暂不处理，等一次排查窗口。",IF($J101="等待下一窗口","暂不在排查窗口；等高频或节点开始，除非有库存/广告异常。","已过：复盘、降投、清尾或沉淀明年节点。"))))))))))))</x:f>
        <x:v>暂不处理，等一次排查窗口。</x:v>
      </x:c>
      <x:c r="L101" s="42" t="n">
        <x:v>46306</x:v>
      </x:c>
      <x:c r="M101" s="42" t="n">
        <x:v>46312</x:v>
      </x:c>
      <x:c r="N101" s="42" t="n">
        <x:v>46231</x:v>
      </x:c>
      <x:c r="O101" s="42" t="n">
        <x:v>46246</x:v>
      </x:c>
      <x:c r="P101" s="42" t="n">
        <x:v>46266</x:v>
      </x:c>
      <x:c r="Q101" s="42" t="n">
        <x:v>46276</x:v>
      </x:c>
      <x:c r="R101" s="42" t="n">
        <x:v>46292</x:v>
      </x:c>
      <x:c r="S101" s="42" t="n">
        <x:v>46312</x:v>
      </x:c>
      <x:c r="T101" s="43" t="n">
        <x:f>$L101-'今日提醒'!$B$2</x:f>
        <x:v>139</x:v>
      </x:c>
      <x:c r="U101" s="74" t="n">
        <x:f>IF(OR($J101="收尾下滑",$J101="节后清尾",$J101="节点当日",$J101="节点进行中",$J101="高频跟进",$J101="临近高频",$J101="大节气提前",$J101="二次排查",$J101="临近二次",$J101="一次排查"),IF($J101="收尾下滑",1,IF($J101="节后清尾",2,IF($J101="节点当日",3,IF($J101="节点进行中",4,IF($J101="高频跟进",5,IF($J101="临近高频",6,IF($J101="大节气提前",7,IF($J101="二次排查",8,IF($J101="临近二次",9,10)))))))))*100000+ROW(),99999999+ROW())</x:f>
        <x:v>100000100</x:v>
      </x:c>
      <x:c r="V101" s="15" t="str">
        <x:f>IF(OR($J101="收尾下滑",$J101="节后清尾"),"风险/止损",IF($J101="节点当日","机会/当日冲刺",IF($J101="节点进行中","机会/进行中",IF($J101="高频跟进","机会/高频",IF($J101="大节气提前","机会/大节气提前",IF(OR($J101="临近高频",$J101="临近二次",$J101="二次排查",$J101="一次排查"),"机会/预热","非今日"))))))</x:f>
        <x:v>非今日</x:v>
      </x:c>
      <x:c r="W101" s="15" t="str">
        <x:f>IF($J101="收尾下滑","控投/清尾/算留仓",IF($J101="节后清尾","节后降投/复盘",IF($J101="节点当日","当日冲刺/控尾流",IF($J101="节点进行中","转化监控/看趋势",IF($J101="高频跟进","放量+控ACOS",IF($J101="大节气提前","提前锁结构/预算",IF($J101="临近高频","预查结构/埋词",IF($J101="临近二次","提前补结构/埋词",IF($J101="二次排查","补结构/补词",IF($J101="一次排查","筛SKU/核库存","暂无"))))))))))</x:f>
        <x:v>暂无</x:v>
      </x:c>
      <x:c r="X101" s="15" t="str">
        <x:f>IF(AND('今日提醒'!$B$2&gt;=$L101,'今日提醒'!$B$2&lt;=$M101,$L101=$M101),"节点当日：不是预热",IF(AND('今日提醒'!$B$2&gt;=$L101,'今日提醒'!$B$2&lt;=$M101,'今日提醒'!$B$2&gt;$S101),"高频已结束但销售窗口未结束：疑似尾期/下滑",IF(AND('今日提醒'!$B$2&gt;$M101,'今日提醒'!$B$2&lt;=$S101),"节点已过但仍在清尾窗口",IF($J101="大节气提前","大节气高频前30天：提前进入主推准备",IF($J101="临近二次","大节气二次排查前14天：提前准备","")))))</x:f>
      </x:c>
    </x:row>
    <x:row r="102" ht="58" hidden="0" customHeight="1">
      <x:c r="A102" s="41" t="str">
        <x:v>Sterile Processing Week</x:v>
      </x:c>
      <x:c r="B102" s="41" t="str">
        <x:v>无菌处理专业人员周</x:v>
      </x:c>
      <x:c r="C102" s="41" t="str">
        <x:v>表彰医院无菌处理/CSSD/SPD团队，适合sterile processing gifts。</x:v>
      </x:c>
      <x:c r="D102" s="41" t="str">
        <x:v>2026-10-11 ~ 2026-10-17</x:v>
      </x:c>
      <x:c r="E102" s="41" t="str">
        <x:v>每年变动</x:v>
      </x:c>
      <x:c r="F102" s="41" t="str">
        <x:v>hospital staff gifts、healthcare worker bulk gifts、感谢卡/钥匙扣</x:v>
      </x:c>
      <x:c r="G102" s="41" t="str">
        <x:v>2026-07-28 ~ 2026-08-12：按职业词筛SKU，核库存、历史动销和礼品适配。</x:v>
      </x:c>
      <x:c r="H102" s="41" t="str">
        <x:v>2026-09-01 ~ 2026-09-11：建/补广告组，补关键词/ASIN，处理低效流量。</x:v>
      </x:c>
      <x:c r="I102" s="41" t="str">
        <x:v>2026-09-27 ~ 2026-10-17：高库存/高花费SKU每日看，其余2-3天看。</x:v>
      </x:c>
      <x:c r="J102" s="41" t="str">
        <x:f>IF(AND('今日提醒'!$B$2&gt;=$L102,'今日提醒'!$B$2&lt;=$M102,$L102=$M102),"节点当日",IF(AND('今日提醒'!$B$2&gt;=$L102,'今日提醒'!$B$2&lt;=$M102,'今日提醒'!$B$2&gt;$S102),"收尾下滑",IF(AND('今日提醒'!$B$2&gt;=$L102,'今日提醒'!$B$2&lt;=$M102),"节点进行中",IF(AND('今日提醒'!$B$2&gt;$M102,'今日提醒'!$B$2&lt;=$S102),"节后清尾",IF(AND('今日提醒'!$B$2&gt;=$R102,'今日提醒'!$B$2&lt;=$S102),"高频跟进",IF(AND('今日提醒'!$B$2&gt;=($R102-14),'今日提醒'!$B$2&lt;$R102,'今日提醒'!$B$2&lt;$L102),"临近高频",IF(AND(OR($A102="Chinese New Year",$A102="Super Bowl",$A102="Valentine's Day",$A102="Valentine Week",$A102="St. Patrick's Day",$A102="Easter",$A102="Graduation Season",$A102="Prom Season",$A102="Teacher Appreciation Week",$A102="Mother's Day",$A102="Memorial Day",$A102="Father's Day",$A102="Independence Day",$A102="Back-to-School Season",$A102="Labor Day",$A102="Halloween",$A102="Thanksgiving",$A102="Black Friday / Cyber Monday",$A102="Christmas",$A102="New Year's Eve / New Year Season"),'今日提醒'!$B$2&gt;=($R102-30),'今日提醒'!$B$2&lt;$R102,'今日提醒'!$B$2&lt;$L102),"大节气提前",IF(AND('今日提醒'!$B$2&gt;=$P102,'今日提醒'!$B$2&lt;=$Q102),"二次排查",IF(AND(OR($A102="Chinese New Year",$A102="Super Bowl",$A102="Valentine's Day",$A102="Valentine Week",$A102="St. Patrick's Day",$A102="Easter",$A102="Graduation Season",$A102="Prom Season",$A102="Teacher Appreciation Week",$A102="Mother's Day",$A102="Memorial Day",$A102="Father's Day",$A102="Independence Day",$A102="Back-to-School Season",$A102="Labor Day",$A102="Halloween",$A102="Thanksgiving",$A102="Black Friday / Cyber Monday",$A102="Christmas",$A102="New Year's Eve / New Year Season"),'今日提醒'!$B$2&gt;=($P102-14),'今日提醒'!$B$2&lt;$P102,'今日提醒'!$B$2&lt;$L102),"临近二次",IF(AND('今日提醒'!$B$2&gt;=$N102,'今日提醒'!$B$2&lt;=$O102),"一次排查",IF('今日提醒'!$B$2&lt;$N102,"未到排查",IF('今日提醒'!$B$2&lt;$L102,"等待下一窗口","已过"))))))))))))</x:f>
        <x:v>未到排查</x:v>
      </x:c>
      <x:c r="K102" s="41" t="str">
        <x:f>IF($J102="收尾下滑","主购买/高频窗口已过，流量可能走弱：不要盲目加预算或新建组；优先看库存压力、ACOS、广告占比、自然单，仅保留高转化词，计算清货/留仓。",IF($J102="节后清尾","节点已过但仍在清尾窗口：控低效词、降无效预算，复盘转化词；库存重则算清货，库存轻则吃完尾流。",IF($J102="节点当日","今天就是节点当日：优先看转化、库存承接、广告花费和尾流风险；可以吃最后一波有效流量，但不要再大范围新建或盲目加预算。",IF($J102="节点进行中","当前在节点/销售窗口内：这是进行中，不是预热；重点看销量、库存承接、广告花费、转化和是否已出现流量下滑。",IF($J102="高频跟进","今天在高频跟进窗口：头部SKU每日看；重点看高库存、高花费、断货风险和ACOS。",IF($J102="临近高频","高频窗口即将开始：今天先预查广告结构、关键词/ASIN、Listing埋词、库存承接和预算，避免临近节点再补。",IF($J102="大节气提前","大节气提前窗口：不要等高频当天再动；今天先锁定主推SKU、库存承接、Listing节日词、广告结构和预算上限，低相关/低库存产品不硬推。",IF($J102="二次排查","今天在二次排查窗口：补广告结构、关键词/ASIN、预算和Listing埋词。",IF($J102="临近二次","大节气二次排查即将开始：提前准备词/ASIN/图片/价格/促销，不等窗口当天才补结构。",IF($J102="一次排查","今天在一次排查窗口：先筛SKU，看历史动销、库存、利润和Listing匹配。",IF($J102="未到排查","暂不处理，等一次排查窗口。",IF($J102="等待下一窗口","暂不在排查窗口；等高频或节点开始，除非有库存/广告异常。","已过：复盘、降投、清尾或沉淀明年节点。"))))))))))))</x:f>
        <x:v>暂不处理，等一次排查窗口。</x:v>
      </x:c>
      <x:c r="L102" s="42" t="n">
        <x:v>46306</x:v>
      </x:c>
      <x:c r="M102" s="42" t="n">
        <x:v>46312</x:v>
      </x:c>
      <x:c r="N102" s="42" t="n">
        <x:v>46231</x:v>
      </x:c>
      <x:c r="O102" s="42" t="n">
        <x:v>46246</x:v>
      </x:c>
      <x:c r="P102" s="42" t="n">
        <x:v>46266</x:v>
      </x:c>
      <x:c r="Q102" s="42" t="n">
        <x:v>46276</x:v>
      </x:c>
      <x:c r="R102" s="42" t="n">
        <x:v>46292</x:v>
      </x:c>
      <x:c r="S102" s="42" t="n">
        <x:v>46312</x:v>
      </x:c>
      <x:c r="T102" s="43" t="n">
        <x:f>$L102-'今日提醒'!$B$2</x:f>
        <x:v>139</x:v>
      </x:c>
      <x:c r="U102" s="74" t="n">
        <x:f>IF(OR($J102="收尾下滑",$J102="节后清尾",$J102="节点当日",$J102="节点进行中",$J102="高频跟进",$J102="临近高频",$J102="大节气提前",$J102="二次排查",$J102="临近二次",$J102="一次排查"),IF($J102="收尾下滑",1,IF($J102="节后清尾",2,IF($J102="节点当日",3,IF($J102="节点进行中",4,IF($J102="高频跟进",5,IF($J102="临近高频",6,IF($J102="大节气提前",7,IF($J102="二次排查",8,IF($J102="临近二次",9,10)))))))))*100000+ROW(),99999999+ROW())</x:f>
        <x:v>100000101</x:v>
      </x:c>
      <x:c r="V102" s="15" t="str">
        <x:f>IF(OR($J102="收尾下滑",$J102="节后清尾"),"风险/止损",IF($J102="节点当日","机会/当日冲刺",IF($J102="节点进行中","机会/进行中",IF($J102="高频跟进","机会/高频",IF($J102="大节气提前","机会/大节气提前",IF(OR($J102="临近高频",$J102="临近二次",$J102="二次排查",$J102="一次排查"),"机会/预热","非今日"))))))</x:f>
        <x:v>非今日</x:v>
      </x:c>
      <x:c r="W102" s="15" t="str">
        <x:f>IF($J102="收尾下滑","控投/清尾/算留仓",IF($J102="节后清尾","节后降投/复盘",IF($J102="节点当日","当日冲刺/控尾流",IF($J102="节点进行中","转化监控/看趋势",IF($J102="高频跟进","放量+控ACOS",IF($J102="大节气提前","提前锁结构/预算",IF($J102="临近高频","预查结构/埋词",IF($J102="临近二次","提前补结构/埋词",IF($J102="二次排查","补结构/补词",IF($J102="一次排查","筛SKU/核库存","暂无"))))))))))</x:f>
        <x:v>暂无</x:v>
      </x:c>
      <x:c r="X102" s="15" t="str">
        <x:f>IF(AND('今日提醒'!$B$2&gt;=$L102,'今日提醒'!$B$2&lt;=$M102,$L102=$M102),"节点当日：不是预热",IF(AND('今日提醒'!$B$2&gt;=$L102,'今日提醒'!$B$2&lt;=$M102,'今日提醒'!$B$2&gt;$S102),"高频已结束但销售窗口未结束：疑似尾期/下滑",IF(AND('今日提醒'!$B$2&gt;$M102,'今日提醒'!$B$2&lt;=$S102),"节点已过但仍在清尾窗口",IF($J102="大节气提前","大节气高频前30天：提前进入主推准备",IF($J102="临近二次","大节气二次排查前14天：提前准备","")))))</x:f>
      </x:c>
    </x:row>
    <x:row r="103" ht="58" hidden="0" customHeight="1">
      <x:c r="A103" s="41" t="str">
        <x:v>Veterinary Technician Week / Vet Tech Week</x:v>
      </x:c>
      <x:c r="B103" s="41" t="str">
        <x:v>兽医技术员周</x:v>
      </x:c>
      <x:c r="C103" s="41" t="str">
        <x:v>表彰兽医技术员，适合vet tech、animal care相关感谢礼。</x:v>
      </x:c>
      <x:c r="D103" s="41" t="str">
        <x:v>2026-10-11 ~ 2026-10-17</x:v>
      </x:c>
      <x:c r="E103" s="41" t="str">
        <x:v>每年变动</x:v>
      </x:c>
      <x:c r="F103" s="41" t="str">
        <x:v>vet/vet tech/vet receptionist gifts、paw print宠物元素感谢礼</x:v>
      </x:c>
      <x:c r="G103" s="41" t="str">
        <x:v>2026-07-28 ~ 2026-08-12：按职业词筛SKU，核库存、历史动销和礼品适配。</x:v>
      </x:c>
      <x:c r="H103" s="41" t="str">
        <x:v>2026-09-01 ~ 2026-09-11：建/补广告组，补关键词/ASIN，处理低效流量。</x:v>
      </x:c>
      <x:c r="I103" s="41" t="str">
        <x:v>2026-09-27 ~ 2026-10-17：高库存/高花费SKU每日看，其余2-3天看。</x:v>
      </x:c>
      <x:c r="J103" s="41" t="str">
        <x:f>IF(AND('今日提醒'!$B$2&gt;=$L103,'今日提醒'!$B$2&lt;=$M103,$L103=$M103),"节点当日",IF(AND('今日提醒'!$B$2&gt;=$L103,'今日提醒'!$B$2&lt;=$M103,'今日提醒'!$B$2&gt;$S103),"收尾下滑",IF(AND('今日提醒'!$B$2&gt;=$L103,'今日提醒'!$B$2&lt;=$M103),"节点进行中",IF(AND('今日提醒'!$B$2&gt;$M103,'今日提醒'!$B$2&lt;=$S103),"节后清尾",IF(AND('今日提醒'!$B$2&gt;=$R103,'今日提醒'!$B$2&lt;=$S103),"高频跟进",IF(AND('今日提醒'!$B$2&gt;=($R103-14),'今日提醒'!$B$2&lt;$R103,'今日提醒'!$B$2&lt;$L103),"临近高频",IF(AND(OR($A103="Chinese New Year",$A103="Super Bowl",$A103="Valentine's Day",$A103="Valentine Week",$A103="St. Patrick's Day",$A103="Easter",$A103="Graduation Season",$A103="Prom Season",$A103="Teacher Appreciation Week",$A103="Mother's Day",$A103="Memorial Day",$A103="Father's Day",$A103="Independence Day",$A103="Back-to-School Season",$A103="Labor Day",$A103="Halloween",$A103="Thanksgiving",$A103="Black Friday / Cyber Monday",$A103="Christmas",$A103="New Year's Eve / New Year Season"),'今日提醒'!$B$2&gt;=($R103-30),'今日提醒'!$B$2&lt;$R103,'今日提醒'!$B$2&lt;$L103),"大节气提前",IF(AND('今日提醒'!$B$2&gt;=$P103,'今日提醒'!$B$2&lt;=$Q103),"二次排查",IF(AND(OR($A103="Chinese New Year",$A103="Super Bowl",$A103="Valentine's Day",$A103="Valentine Week",$A103="St. Patrick's Day",$A103="Easter",$A103="Graduation Season",$A103="Prom Season",$A103="Teacher Appreciation Week",$A103="Mother's Day",$A103="Memorial Day",$A103="Father's Day",$A103="Independence Day",$A103="Back-to-School Season",$A103="Labor Day",$A103="Halloween",$A103="Thanksgiving",$A103="Black Friday / Cyber Monday",$A103="Christmas",$A103="New Year's Eve / New Year Season"),'今日提醒'!$B$2&gt;=($P103-14),'今日提醒'!$B$2&lt;$P103,'今日提醒'!$B$2&lt;$L103),"临近二次",IF(AND('今日提醒'!$B$2&gt;=$N103,'今日提醒'!$B$2&lt;=$O103),"一次排查",IF('今日提醒'!$B$2&lt;$N103,"未到排查",IF('今日提醒'!$B$2&lt;$L103,"等待下一窗口","已过"))))))))))))</x:f>
        <x:v>未到排查</x:v>
      </x:c>
      <x:c r="K103" s="41" t="str">
        <x:f>IF($J103="收尾下滑","主购买/高频窗口已过，流量可能走弱：不要盲目加预算或新建组；优先看库存压力、ACOS、广告占比、自然单，仅保留高转化词，计算清货/留仓。",IF($J103="节后清尾","节点已过但仍在清尾窗口：控低效词、降无效预算，复盘转化词；库存重则算清货，库存轻则吃完尾流。",IF($J103="节点当日","今天就是节点当日：优先看转化、库存承接、广告花费和尾流风险；可以吃最后一波有效流量，但不要再大范围新建或盲目加预算。",IF($J103="节点进行中","当前在节点/销售窗口内：这是进行中，不是预热；重点看销量、库存承接、广告花费、转化和是否已出现流量下滑。",IF($J103="高频跟进","今天在高频跟进窗口：头部SKU每日看；重点看高库存、高花费、断货风险和ACOS。",IF($J103="临近高频","高频窗口即将开始：今天先预查广告结构、关键词/ASIN、Listing埋词、库存承接和预算，避免临近节点再补。",IF($J103="大节气提前","大节气提前窗口：不要等高频当天再动；今天先锁定主推SKU、库存承接、Listing节日词、广告结构和预算上限，低相关/低库存产品不硬推。",IF($J103="二次排查","今天在二次排查窗口：补广告结构、关键词/ASIN、预算和Listing埋词。",IF($J103="临近二次","大节气二次排查即将开始：提前准备词/ASIN/图片/价格/促销，不等窗口当天才补结构。",IF($J103="一次排查","今天在一次排查窗口：先筛SKU，看历史动销、库存、利润和Listing匹配。",IF($J103="未到排查","暂不处理，等一次排查窗口。",IF($J103="等待下一窗口","暂不在排查窗口；等高频或节点开始，除非有库存/广告异常。","已过：复盘、降投、清尾或沉淀明年节点。"))))))))))))</x:f>
        <x:v>暂不处理，等一次排查窗口。</x:v>
      </x:c>
      <x:c r="L103" s="42" t="n">
        <x:v>46306</x:v>
      </x:c>
      <x:c r="M103" s="42" t="n">
        <x:v>46312</x:v>
      </x:c>
      <x:c r="N103" s="42" t="n">
        <x:v>46231</x:v>
      </x:c>
      <x:c r="O103" s="42" t="n">
        <x:v>46246</x:v>
      </x:c>
      <x:c r="P103" s="42" t="n">
        <x:v>46266</x:v>
      </x:c>
      <x:c r="Q103" s="42" t="n">
        <x:v>46276</x:v>
      </x:c>
      <x:c r="R103" s="42" t="n">
        <x:v>46292</x:v>
      </x:c>
      <x:c r="S103" s="42" t="n">
        <x:v>46312</x:v>
      </x:c>
      <x:c r="T103" s="43" t="n">
        <x:f>$L103-'今日提醒'!$B$2</x:f>
        <x:v>139</x:v>
      </x:c>
      <x:c r="U103" s="74" t="n">
        <x:f>IF(OR($J103="收尾下滑",$J103="节后清尾",$J103="节点当日",$J103="节点进行中",$J103="高频跟进",$J103="临近高频",$J103="大节气提前",$J103="二次排查",$J103="临近二次",$J103="一次排查"),IF($J103="收尾下滑",1,IF($J103="节后清尾",2,IF($J103="节点当日",3,IF($J103="节点进行中",4,IF($J103="高频跟进",5,IF($J103="临近高频",6,IF($J103="大节气提前",7,IF($J103="二次排查",8,IF($J103="临近二次",9,10)))))))))*100000+ROW(),99999999+ROW())</x:f>
        <x:v>100000102</x:v>
      </x:c>
      <x:c r="V103" s="15" t="str">
        <x:f>IF(OR($J103="收尾下滑",$J103="节后清尾"),"风险/止损",IF($J103="节点当日","机会/当日冲刺",IF($J103="节点进行中","机会/进行中",IF($J103="高频跟进","机会/高频",IF($J103="大节气提前","机会/大节气提前",IF(OR($J103="临近高频",$J103="临近二次",$J103="二次排查",$J103="一次排查"),"机会/预热","非今日"))))))</x:f>
        <x:v>非今日</x:v>
      </x:c>
      <x:c r="W103" s="15" t="str">
        <x:f>IF($J103="收尾下滑","控投/清尾/算留仓",IF($J103="节后清尾","节后降投/复盘",IF($J103="节点当日","当日冲刺/控尾流",IF($J103="节点进行中","转化监控/看趋势",IF($J103="高频跟进","放量+控ACOS",IF($J103="大节气提前","提前锁结构/预算",IF($J103="临近高频","预查结构/埋词",IF($J103="临近二次","提前补结构/埋词",IF($J103="二次排查","补结构/补词",IF($J103="一次排查","筛SKU/核库存","暂无"))))))))))</x:f>
        <x:v>暂无</x:v>
      </x:c>
      <x:c r="X103" s="15" t="str">
        <x:f>IF(AND('今日提醒'!$B$2&gt;=$L103,'今日提醒'!$B$2&lt;=$M103,$L103=$M103),"节点当日：不是预热",IF(AND('今日提醒'!$B$2&gt;=$L103,'今日提醒'!$B$2&lt;=$M103,'今日提醒'!$B$2&gt;$S103),"高频已结束但销售窗口未结束：疑似尾期/下滑",IF(AND('今日提醒'!$B$2&gt;$M103,'今日提醒'!$B$2&lt;=$S103),"节点已过但仍在清尾窗口",IF($J103="大节气提前","大节气高频前30天：提前进入主推准备",IF($J103="临近二次","大节气二次排查前14天：提前准备","")))))</x:f>
      </x:c>
    </x:row>
    <x:row r="104" ht="58" hidden="0" customHeight="1">
      <x:c r="A104" s="41" t="str">
        <x:v>Boss's Day</x:v>
      </x:c>
      <x:c r="B104" s="41" t="str">
        <x:v>老板节/上司节</x:v>
      </x:c>
      <x:c r="C104" s="41" t="str">
        <x:v>感谢老板、主管、经理的职场礼品节点。</x:v>
      </x:c>
      <x:c r="D104" s="41" t="str">
        <x:v>2026-10-16</x:v>
      </x:c>
      <x:c r="E104" s="41" t="str">
        <x:v>基本固定</x:v>
      </x:c>
      <x:c r="F104" s="41" t="str">
        <x:v>boss gifts、office thank you礼、桌面小物、卡片</x:v>
      </x:c>
      <x:c r="G104" s="41" t="str">
        <x:v>2026-08-17 ~ 2026-09-01：先筛匹配SKU、历史销量、库存和利润空间。</x:v>
      </x:c>
      <x:c r="H104" s="41" t="str">
        <x:v>2026-09-16 ~ 2026-09-25：补关键词/ASIN、Listing埋词和广告预算。</x:v>
      </x:c>
      <x:c r="I104" s="41" t="str">
        <x:v>2026-10-02 ~ 2026-10-18：重点SKU每日看，普通SKU每2-3天看。</x:v>
      </x:c>
      <x:c r="J104" s="41" t="str">
        <x:f>IF(AND('今日提醒'!$B$2&gt;=$L104,'今日提醒'!$B$2&lt;=$M104,$L104=$M104),"节点当日",IF(AND('今日提醒'!$B$2&gt;=$L104,'今日提醒'!$B$2&lt;=$M104,'今日提醒'!$B$2&gt;$S104),"收尾下滑",IF(AND('今日提醒'!$B$2&gt;=$L104,'今日提醒'!$B$2&lt;=$M104),"节点进行中",IF(AND('今日提醒'!$B$2&gt;$M104,'今日提醒'!$B$2&lt;=$S104),"节后清尾",IF(AND('今日提醒'!$B$2&gt;=$R104,'今日提醒'!$B$2&lt;=$S104),"高频跟进",IF(AND('今日提醒'!$B$2&gt;=($R104-14),'今日提醒'!$B$2&lt;$R104,'今日提醒'!$B$2&lt;$L104),"临近高频",IF(AND(OR($A104="Chinese New Year",$A104="Super Bowl",$A104="Valentine's Day",$A104="Valentine Week",$A104="St. Patrick's Day",$A104="Easter",$A104="Graduation Season",$A104="Prom Season",$A104="Teacher Appreciation Week",$A104="Mother's Day",$A104="Memorial Day",$A104="Father's Day",$A104="Independence Day",$A104="Back-to-School Season",$A104="Labor Day",$A104="Halloween",$A104="Thanksgiving",$A104="Black Friday / Cyber Monday",$A104="Christmas",$A104="New Year's Eve / New Year Season"),'今日提醒'!$B$2&gt;=($R104-30),'今日提醒'!$B$2&lt;$R104,'今日提醒'!$B$2&lt;$L104),"大节气提前",IF(AND('今日提醒'!$B$2&gt;=$P104,'今日提醒'!$B$2&lt;=$Q104),"二次排查",IF(AND(OR($A104="Chinese New Year",$A104="Super Bowl",$A104="Valentine's Day",$A104="Valentine Week",$A104="St. Patrick's Day",$A104="Easter",$A104="Graduation Season",$A104="Prom Season",$A104="Teacher Appreciation Week",$A104="Mother's Day",$A104="Memorial Day",$A104="Father's Day",$A104="Independence Day",$A104="Back-to-School Season",$A104="Labor Day",$A104="Halloween",$A104="Thanksgiving",$A104="Black Friday / Cyber Monday",$A104="Christmas",$A104="New Year's Eve / New Year Season"),'今日提醒'!$B$2&gt;=($P104-14),'今日提醒'!$B$2&lt;$P104,'今日提醒'!$B$2&lt;$L104),"临近二次",IF(AND('今日提醒'!$B$2&gt;=$N104,'今日提醒'!$B$2&lt;=$O104),"一次排查",IF('今日提醒'!$B$2&lt;$N104,"未到排查",IF('今日提醒'!$B$2&lt;$L104,"等待下一窗口","已过"))))))))))))</x:f>
        <x:v>未到排查</x:v>
      </x:c>
      <x:c r="K104" s="41" t="str">
        <x:f>IF($J104="收尾下滑","主购买/高频窗口已过，流量可能走弱：不要盲目加预算或新建组；优先看库存压力、ACOS、广告占比、自然单，仅保留高转化词，计算清货/留仓。",IF($J104="节后清尾","节点已过但仍在清尾窗口：控低效词、降无效预算，复盘转化词；库存重则算清货，库存轻则吃完尾流。",IF($J104="节点当日","今天就是节点当日：优先看转化、库存承接、广告花费和尾流风险；可以吃最后一波有效流量，但不要再大范围新建或盲目加预算。",IF($J104="节点进行中","当前在节点/销售窗口内：这是进行中，不是预热；重点看销量、库存承接、广告花费、转化和是否已出现流量下滑。",IF($J104="高频跟进","今天在高频跟进窗口：头部SKU每日看；重点看高库存、高花费、断货风险和ACOS。",IF($J104="临近高频","高频窗口即将开始：今天先预查广告结构、关键词/ASIN、Listing埋词、库存承接和预算，避免临近节点再补。",IF($J104="大节气提前","大节气提前窗口：不要等高频当天再动；今天先锁定主推SKU、库存承接、Listing节日词、广告结构和预算上限，低相关/低库存产品不硬推。",IF($J104="二次排查","今天在二次排查窗口：补广告结构、关键词/ASIN、预算和Listing埋词。",IF($J104="临近二次","大节气二次排查即将开始：提前准备词/ASIN/图片/价格/促销，不等窗口当天才补结构。",IF($J104="一次排查","今天在一次排查窗口：先筛SKU，看历史动销、库存、利润和Listing匹配。",IF($J104="未到排查","暂不处理，等一次排查窗口。",IF($J104="等待下一窗口","暂不在排查窗口；等高频或节点开始，除非有库存/广告异常。","已过：复盘、降投、清尾或沉淀明年节点。"))))))))))))</x:f>
        <x:v>暂不处理，等一次排查窗口。</x:v>
      </x:c>
      <x:c r="L104" s="42" t="n">
        <x:v>46311</x:v>
      </x:c>
      <x:c r="M104" s="42" t="n">
        <x:v>46311</x:v>
      </x:c>
      <x:c r="N104" s="42" t="n">
        <x:v>46251</x:v>
      </x:c>
      <x:c r="O104" s="42" t="n">
        <x:v>46266</x:v>
      </x:c>
      <x:c r="P104" s="42" t="n">
        <x:v>46281</x:v>
      </x:c>
      <x:c r="Q104" s="42" t="n">
        <x:v>46290</x:v>
      </x:c>
      <x:c r="R104" s="42" t="n">
        <x:v>46297</x:v>
      </x:c>
      <x:c r="S104" s="42" t="n">
        <x:v>46313</x:v>
      </x:c>
      <x:c r="T104" s="43" t="n">
        <x:f>$L104-'今日提醒'!$B$2</x:f>
        <x:v>144</x:v>
      </x:c>
      <x:c r="U104" s="74" t="n">
        <x:f>IF(OR($J104="收尾下滑",$J104="节后清尾",$J104="节点当日",$J104="节点进行中",$J104="高频跟进",$J104="临近高频",$J104="大节气提前",$J104="二次排查",$J104="临近二次",$J104="一次排查"),IF($J104="收尾下滑",1,IF($J104="节后清尾",2,IF($J104="节点当日",3,IF($J104="节点进行中",4,IF($J104="高频跟进",5,IF($J104="临近高频",6,IF($J104="大节气提前",7,IF($J104="二次排查",8,IF($J104="临近二次",9,10)))))))))*100000+ROW(),99999999+ROW())</x:f>
        <x:v>100000103</x:v>
      </x:c>
      <x:c r="V104" s="15" t="str">
        <x:f>IF(OR($J104="收尾下滑",$J104="节后清尾"),"风险/止损",IF($J104="节点当日","机会/当日冲刺",IF($J104="节点进行中","机会/进行中",IF($J104="高频跟进","机会/高频",IF($J104="大节气提前","机会/大节气提前",IF(OR($J104="临近高频",$J104="临近二次",$J104="二次排查",$J104="一次排查"),"机会/预热","非今日"))))))</x:f>
        <x:v>非今日</x:v>
      </x:c>
      <x:c r="W104" s="15" t="str">
        <x:f>IF($J104="收尾下滑","控投/清尾/算留仓",IF($J104="节后清尾","节后降投/复盘",IF($J104="节点当日","当日冲刺/控尾流",IF($J104="节点进行中","转化监控/看趋势",IF($J104="高频跟进","放量+控ACOS",IF($J104="大节气提前","提前锁结构/预算",IF($J104="临近高频","预查结构/埋词",IF($J104="临近二次","提前补结构/埋词",IF($J104="二次排查","补结构/补词",IF($J104="一次排查","筛SKU/核库存","暂无"))))))))))</x:f>
        <x:v>暂无</x:v>
      </x:c>
      <x:c r="X104" s="15" t="str">
        <x:f>IF(AND('今日提醒'!$B$2&gt;=$L104,'今日提醒'!$B$2&lt;=$M104,$L104=$M104),"节点当日：不是预热",IF(AND('今日提醒'!$B$2&gt;=$L104,'今日提醒'!$B$2&lt;=$M104,'今日提醒'!$B$2&gt;$S104),"高频已结束但销售窗口未结束：疑似尾期/下滑",IF(AND('今日提醒'!$B$2&gt;$M104,'今日提醒'!$B$2&lt;=$S104),"节点已过但仍在清尾窗口",IF($J104="大节气提前","大节气高频前30天：提前进入主推准备",IF($J104="临近二次","大节气二次排查前14天：提前准备","")))))</x:f>
      </x:c>
    </x:row>
    <x:row r="105" ht="58" hidden="0" customHeight="1">
      <x:c r="A105" s="41" t="str">
        <x:v>Sweetest Day</x:v>
      </x:c>
      <x:c r="B105" s="41" t="str">
        <x:v>甜蜜日</x:v>
      </x:c>
      <x:c r="C105" s="41" t="str">
        <x:v>美国中西部较流行的小型浪漫礼赠节点，适合情侣、小礼物、糖果。</x:v>
      </x:c>
      <x:c r="D105" s="41" t="str">
        <x:v>2026-10-17</x:v>
      </x:c>
      <x:c r="E105" s="41" t="str">
        <x:v>每年变动</x:v>
      </x:c>
      <x:c r="F105" s="41" t="str">
        <x:v>情侣/闺蜜礼、爱心卡、bracelet、pocket hug、小饰品</x:v>
      </x:c>
      <x:c r="G105" s="41" t="str">
        <x:v>2026-06-19 ~ 2026-07-19：先看历史销量、库存/FBA承接、是否需要改Listing。</x:v>
      </x:c>
      <x:c r="H105" s="41" t="str">
        <x:v>2026-08-18 ~ 2026-09-02：广告结构、关键词/ASIN、标题主图必须基本到位。</x:v>
      </x:c>
      <x:c r="I105" s="41" t="str">
        <x:v>2026-09-26 ~ 2026-10-20：头部SKU每日看，过后及时降投/清尾。</x:v>
      </x:c>
      <x:c r="J105" s="41" t="str">
        <x:f>IF(AND('今日提醒'!$B$2&gt;=$L105,'今日提醒'!$B$2&lt;=$M105,$L105=$M105),"节点当日",IF(AND('今日提醒'!$B$2&gt;=$L105,'今日提醒'!$B$2&lt;=$M105,'今日提醒'!$B$2&gt;$S105),"收尾下滑",IF(AND('今日提醒'!$B$2&gt;=$L105,'今日提醒'!$B$2&lt;=$M105),"节点进行中",IF(AND('今日提醒'!$B$2&gt;$M105,'今日提醒'!$B$2&lt;=$S105),"节后清尾",IF(AND('今日提醒'!$B$2&gt;=$R105,'今日提醒'!$B$2&lt;=$S105),"高频跟进",IF(AND('今日提醒'!$B$2&gt;=($R105-14),'今日提醒'!$B$2&lt;$R105,'今日提醒'!$B$2&lt;$L105),"临近高频",IF(AND(OR($A105="Chinese New Year",$A105="Super Bowl",$A105="Valentine's Day",$A105="Valentine Week",$A105="St. Patrick's Day",$A105="Easter",$A105="Graduation Season",$A105="Prom Season",$A105="Teacher Appreciation Week",$A105="Mother's Day",$A105="Memorial Day",$A105="Father's Day",$A105="Independence Day",$A105="Back-to-School Season",$A105="Labor Day",$A105="Halloween",$A105="Thanksgiving",$A105="Black Friday / Cyber Monday",$A105="Christmas",$A105="New Year's Eve / New Year Season"),'今日提醒'!$B$2&gt;=($R105-30),'今日提醒'!$B$2&lt;$R105,'今日提醒'!$B$2&lt;$L105),"大节气提前",IF(AND('今日提醒'!$B$2&gt;=$P105,'今日提醒'!$B$2&lt;=$Q105),"二次排查",IF(AND(OR($A105="Chinese New Year",$A105="Super Bowl",$A105="Valentine's Day",$A105="Valentine Week",$A105="St. Patrick's Day",$A105="Easter",$A105="Graduation Season",$A105="Prom Season",$A105="Teacher Appreciation Week",$A105="Mother's Day",$A105="Memorial Day",$A105="Father's Day",$A105="Independence Day",$A105="Back-to-School Season",$A105="Labor Day",$A105="Halloween",$A105="Thanksgiving",$A105="Black Friday / Cyber Monday",$A105="Christmas",$A105="New Year's Eve / New Year Season"),'今日提醒'!$B$2&gt;=($P105-14),'今日提醒'!$B$2&lt;$P105,'今日提醒'!$B$2&lt;$L105),"临近二次",IF(AND('今日提醒'!$B$2&gt;=$N105,'今日提醒'!$B$2&lt;=$O105),"一次排查",IF('今日提醒'!$B$2&lt;$N105,"未到排查",IF('今日提醒'!$B$2&lt;$L105,"等待下一窗口","已过"))))))))))))</x:f>
        <x:v>未到排查</x:v>
      </x:c>
      <x:c r="K105" s="41" t="str">
        <x:f>IF($J105="收尾下滑","主购买/高频窗口已过，流量可能走弱：不要盲目加预算或新建组；优先看库存压力、ACOS、广告占比、自然单，仅保留高转化词，计算清货/留仓。",IF($J105="节后清尾","节点已过但仍在清尾窗口：控低效词、降无效预算，复盘转化词；库存重则算清货，库存轻则吃完尾流。",IF($J105="节点当日","今天就是节点当日：优先看转化、库存承接、广告花费和尾流风险；可以吃最后一波有效流量，但不要再大范围新建或盲目加预算。",IF($J105="节点进行中","当前在节点/销售窗口内：这是进行中，不是预热；重点看销量、库存承接、广告花费、转化和是否已出现流量下滑。",IF($J105="高频跟进","今天在高频跟进窗口：头部SKU每日看；重点看高库存、高花费、断货风险和ACOS。",IF($J105="临近高频","高频窗口即将开始：今天先预查广告结构、关键词/ASIN、Listing埋词、库存承接和预算，避免临近节点再补。",IF($J105="大节气提前","大节气提前窗口：不要等高频当天再动；今天先锁定主推SKU、库存承接、Listing节日词、广告结构和预算上限，低相关/低库存产品不硬推。",IF($J105="二次排查","今天在二次排查窗口：补广告结构、关键词/ASIN、预算和Listing埋词。",IF($J105="临近二次","大节气二次排查即将开始：提前准备词/ASIN/图片/价格/促销，不等窗口当天才补结构。",IF($J105="一次排查","今天在一次排查窗口：先筛SKU，看历史动销、库存、利润和Listing匹配。",IF($J105="未到排查","暂不处理，等一次排查窗口。",IF($J105="等待下一窗口","暂不在排查窗口；等高频或节点开始，除非有库存/广告异常。","已过：复盘、降投、清尾或沉淀明年节点。"))))))))))))</x:f>
        <x:v>暂不处理，等一次排查窗口。</x:v>
      </x:c>
      <x:c r="L105" s="42" t="n">
        <x:v>46312</x:v>
      </x:c>
      <x:c r="M105" s="42" t="n">
        <x:v>46312</x:v>
      </x:c>
      <x:c r="N105" s="42" t="n">
        <x:v>46192</x:v>
      </x:c>
      <x:c r="O105" s="42" t="n">
        <x:v>46222</x:v>
      </x:c>
      <x:c r="P105" s="42" t="n">
        <x:v>46252</x:v>
      </x:c>
      <x:c r="Q105" s="42" t="n">
        <x:v>46267</x:v>
      </x:c>
      <x:c r="R105" s="42" t="n">
        <x:v>46291</x:v>
      </x:c>
      <x:c r="S105" s="42" t="n">
        <x:v>46315</x:v>
      </x:c>
      <x:c r="T105" s="43" t="n">
        <x:f>$L105-'今日提醒'!$B$2</x:f>
        <x:v>145</x:v>
      </x:c>
      <x:c r="U105" s="74" t="n">
        <x:f>IF(OR($J105="收尾下滑",$J105="节后清尾",$J105="节点当日",$J105="节点进行中",$J105="高频跟进",$J105="临近高频",$J105="大节气提前",$J105="二次排查",$J105="临近二次",$J105="一次排查"),IF($J105="收尾下滑",1,IF($J105="节后清尾",2,IF($J105="节点当日",3,IF($J105="节点进行中",4,IF($J105="高频跟进",5,IF($J105="临近高频",6,IF($J105="大节气提前",7,IF($J105="二次排查",8,IF($J105="临近二次",9,10)))))))))*100000+ROW(),99999999+ROW())</x:f>
        <x:v>100000104</x:v>
      </x:c>
      <x:c r="V105" s="15" t="str">
        <x:f>IF(OR($J105="收尾下滑",$J105="节后清尾"),"风险/止损",IF($J105="节点当日","机会/当日冲刺",IF($J105="节点进行中","机会/进行中",IF($J105="高频跟进","机会/高频",IF($J105="大节气提前","机会/大节气提前",IF(OR($J105="临近高频",$J105="临近二次",$J105="二次排查",$J105="一次排查"),"机会/预热","非今日"))))))</x:f>
        <x:v>非今日</x:v>
      </x:c>
      <x:c r="W105" s="15" t="str">
        <x:f>IF($J105="收尾下滑","控投/清尾/算留仓",IF($J105="节后清尾","节后降投/复盘",IF($J105="节点当日","当日冲刺/控尾流",IF($J105="节点进行中","转化监控/看趋势",IF($J105="高频跟进","放量+控ACOS",IF($J105="大节气提前","提前锁结构/预算",IF($J105="临近高频","预查结构/埋词",IF($J105="临近二次","提前补结构/埋词",IF($J105="二次排查","补结构/补词",IF($J105="一次排查","筛SKU/核库存","暂无"))))))))))</x:f>
        <x:v>暂无</x:v>
      </x:c>
      <x:c r="X105" s="15" t="str">
        <x:f>IF(AND('今日提醒'!$B$2&gt;=$L105,'今日提醒'!$B$2&lt;=$M105,$L105=$M105),"节点当日：不是预热",IF(AND('今日提醒'!$B$2&gt;=$L105,'今日提醒'!$B$2&lt;=$M105,'今日提醒'!$B$2&gt;$S105),"高频已结束但销售窗口未结束：疑似尾期/下滑",IF(AND('今日提醒'!$B$2&gt;$M105,'今日提醒'!$B$2&lt;=$S105),"节点已过但仍在清尾窗口",IF($J105="大节气提前","大节气高频前30天：提前进入主推准备",IF($J105="临近二次","大节气二次排查前14天：提前准备","")))))</x:f>
      </x:c>
    </x:row>
    <x:row r="106" ht="58" hidden="0" customHeight="1">
      <x:c r="A106" s="41" t="str">
        <x:v>Medical Assistants Recognition Week</x:v>
      </x:c>
      <x:c r="B106" s="41" t="str">
        <x:v>医疗助理表彰周</x:v>
      </x:c>
      <x:c r="C106" s="41" t="str">
        <x:v>表彰医疗助理，适合medical assistant appreciation gifts。</x:v>
      </x:c>
      <x:c r="D106" s="41" t="str">
        <x:v>2026-10-19 ~ 2026-10-23</x:v>
      </x:c>
      <x:c r="E106" s="41" t="str">
        <x:v>每年变动</x:v>
      </x:c>
      <x:c r="F106" s="41" t="str">
        <x:v>medical assistant gifts、MA week感谢礼、badge reel、钥匙扣</x:v>
      </x:c>
      <x:c r="G106" s="41" t="str">
        <x:v>2026-08-05 ~ 2026-08-20：按职业词筛SKU，核库存、历史动销和礼品适配。</x:v>
      </x:c>
      <x:c r="H106" s="41" t="str">
        <x:v>2026-09-09 ~ 2026-09-19：建/补广告组，补关键词/ASIN，处理低效流量。</x:v>
      </x:c>
      <x:c r="I106" s="41" t="str">
        <x:v>2026-10-05 ~ 2026-10-23：高库存/高花费SKU每日看，其余2-3天看。</x:v>
      </x:c>
      <x:c r="J106" s="41" t="str">
        <x:f>IF(AND('今日提醒'!$B$2&gt;=$L106,'今日提醒'!$B$2&lt;=$M106,$L106=$M106),"节点当日",IF(AND('今日提醒'!$B$2&gt;=$L106,'今日提醒'!$B$2&lt;=$M106,'今日提醒'!$B$2&gt;$S106),"收尾下滑",IF(AND('今日提醒'!$B$2&gt;=$L106,'今日提醒'!$B$2&lt;=$M106),"节点进行中",IF(AND('今日提醒'!$B$2&gt;$M106,'今日提醒'!$B$2&lt;=$S106),"节后清尾",IF(AND('今日提醒'!$B$2&gt;=$R106,'今日提醒'!$B$2&lt;=$S106),"高频跟进",IF(AND('今日提醒'!$B$2&gt;=($R106-14),'今日提醒'!$B$2&lt;$R106,'今日提醒'!$B$2&lt;$L106),"临近高频",IF(AND(OR($A106="Chinese New Year",$A106="Super Bowl",$A106="Valentine's Day",$A106="Valentine Week",$A106="St. Patrick's Day",$A106="Easter",$A106="Graduation Season",$A106="Prom Season",$A106="Teacher Appreciation Week",$A106="Mother's Day",$A106="Memorial Day",$A106="Father's Day",$A106="Independence Day",$A106="Back-to-School Season",$A106="Labor Day",$A106="Halloween",$A106="Thanksgiving",$A106="Black Friday / Cyber Monday",$A106="Christmas",$A106="New Year's Eve / New Year Season"),'今日提醒'!$B$2&gt;=($R106-30),'今日提醒'!$B$2&lt;$R106,'今日提醒'!$B$2&lt;$L106),"大节气提前",IF(AND('今日提醒'!$B$2&gt;=$P106,'今日提醒'!$B$2&lt;=$Q106),"二次排查",IF(AND(OR($A106="Chinese New Year",$A106="Super Bowl",$A106="Valentine's Day",$A106="Valentine Week",$A106="St. Patrick's Day",$A106="Easter",$A106="Graduation Season",$A106="Prom Season",$A106="Teacher Appreciation Week",$A106="Mother's Day",$A106="Memorial Day",$A106="Father's Day",$A106="Independence Day",$A106="Back-to-School Season",$A106="Labor Day",$A106="Halloween",$A106="Thanksgiving",$A106="Black Friday / Cyber Monday",$A106="Christmas",$A106="New Year's Eve / New Year Season"),'今日提醒'!$B$2&gt;=($P106-14),'今日提醒'!$B$2&lt;$P106,'今日提醒'!$B$2&lt;$L106),"临近二次",IF(AND('今日提醒'!$B$2&gt;=$N106,'今日提醒'!$B$2&lt;=$O106),"一次排查",IF('今日提醒'!$B$2&lt;$N106,"未到排查",IF('今日提醒'!$B$2&lt;$L106,"等待下一窗口","已过"))))))))))))</x:f>
        <x:v>未到排查</x:v>
      </x:c>
      <x:c r="K106" s="41" t="str">
        <x:f>IF($J106="收尾下滑","主购买/高频窗口已过，流量可能走弱：不要盲目加预算或新建组；优先看库存压力、ACOS、广告占比、自然单，仅保留高转化词，计算清货/留仓。",IF($J106="节后清尾","节点已过但仍在清尾窗口：控低效词、降无效预算，复盘转化词；库存重则算清货，库存轻则吃完尾流。",IF($J106="节点当日","今天就是节点当日：优先看转化、库存承接、广告花费和尾流风险；可以吃最后一波有效流量，但不要再大范围新建或盲目加预算。",IF($J106="节点进行中","当前在节点/销售窗口内：这是进行中，不是预热；重点看销量、库存承接、广告花费、转化和是否已出现流量下滑。",IF($J106="高频跟进","今天在高频跟进窗口：头部SKU每日看；重点看高库存、高花费、断货风险和ACOS。",IF($J106="临近高频","高频窗口即将开始：今天先预查广告结构、关键词/ASIN、Listing埋词、库存承接和预算，避免临近节点再补。",IF($J106="大节气提前","大节气提前窗口：不要等高频当天再动；今天先锁定主推SKU、库存承接、Listing节日词、广告结构和预算上限，低相关/低库存产品不硬推。",IF($J106="二次排查","今天在二次排查窗口：补广告结构、关键词/ASIN、预算和Listing埋词。",IF($J106="临近二次","大节气二次排查即将开始：提前准备词/ASIN/图片/价格/促销，不等窗口当天才补结构。",IF($J106="一次排查","今天在一次排查窗口：先筛SKU，看历史动销、库存、利润和Listing匹配。",IF($J106="未到排查","暂不处理，等一次排查窗口。",IF($J106="等待下一窗口","暂不在排查窗口；等高频或节点开始，除非有库存/广告异常。","已过：复盘、降投、清尾或沉淀明年节点。"))))))))))))</x:f>
        <x:v>暂不处理，等一次排查窗口。</x:v>
      </x:c>
      <x:c r="L106" s="42" t="n">
        <x:v>46314</x:v>
      </x:c>
      <x:c r="M106" s="42" t="n">
        <x:v>46318</x:v>
      </x:c>
      <x:c r="N106" s="42" t="n">
        <x:v>46239</x:v>
      </x:c>
      <x:c r="O106" s="42" t="n">
        <x:v>46254</x:v>
      </x:c>
      <x:c r="P106" s="42" t="n">
        <x:v>46274</x:v>
      </x:c>
      <x:c r="Q106" s="42" t="n">
        <x:v>46284</x:v>
      </x:c>
      <x:c r="R106" s="42" t="n">
        <x:v>46300</x:v>
      </x:c>
      <x:c r="S106" s="42" t="n">
        <x:v>46318</x:v>
      </x:c>
      <x:c r="T106" s="43" t="n">
        <x:f>$L106-'今日提醒'!$B$2</x:f>
        <x:v>147</x:v>
      </x:c>
      <x:c r="U106" s="74" t="n">
        <x:f>IF(OR($J106="收尾下滑",$J106="节后清尾",$J106="节点当日",$J106="节点进行中",$J106="高频跟进",$J106="临近高频",$J106="大节气提前",$J106="二次排查",$J106="临近二次",$J106="一次排查"),IF($J106="收尾下滑",1,IF($J106="节后清尾",2,IF($J106="节点当日",3,IF($J106="节点进行中",4,IF($J106="高频跟进",5,IF($J106="临近高频",6,IF($J106="大节气提前",7,IF($J106="二次排查",8,IF($J106="临近二次",9,10)))))))))*100000+ROW(),99999999+ROW())</x:f>
        <x:v>100000105</x:v>
      </x:c>
      <x:c r="V106" s="15" t="str">
        <x:f>IF(OR($J106="收尾下滑",$J106="节后清尾"),"风险/止损",IF($J106="节点当日","机会/当日冲刺",IF($J106="节点进行中","机会/进行中",IF($J106="高频跟进","机会/高频",IF($J106="大节气提前","机会/大节气提前",IF(OR($J106="临近高频",$J106="临近二次",$J106="二次排查",$J106="一次排查"),"机会/预热","非今日"))))))</x:f>
        <x:v>非今日</x:v>
      </x:c>
      <x:c r="W106" s="15" t="str">
        <x:f>IF($J106="收尾下滑","控投/清尾/算留仓",IF($J106="节后清尾","节后降投/复盘",IF($J106="节点当日","当日冲刺/控尾流",IF($J106="节点进行中","转化监控/看趋势",IF($J106="高频跟进","放量+控ACOS",IF($J106="大节气提前","提前锁结构/预算",IF($J106="临近高频","预查结构/埋词",IF($J106="临近二次","提前补结构/埋词",IF($J106="二次排查","补结构/补词",IF($J106="一次排查","筛SKU/核库存","暂无"))))))))))</x:f>
        <x:v>暂无</x:v>
      </x:c>
      <x:c r="X106" s="15" t="str">
        <x:f>IF(AND('今日提醒'!$B$2&gt;=$L106,'今日提醒'!$B$2&lt;=$M106,$L106=$M106),"节点当日：不是预热",IF(AND('今日提醒'!$B$2&gt;=$L106,'今日提醒'!$B$2&lt;=$M106,'今日提醒'!$B$2&gt;$S106),"高频已结束但销售窗口未结束：疑似尾期/下滑",IF(AND('今日提醒'!$B$2&gt;$M106,'今日提醒'!$B$2&lt;=$S106),"节点已过但仍在清尾窗口",IF($J106="大节气提前","大节气高频前30天：提前进入主推准备",IF($J106="临近二次","大节气二次排查前14天：提前准备","")))))</x:f>
      </x:c>
    </x:row>
    <x:row r="107" ht="58" hidden="0" customHeight="1">
      <x:c r="A107" s="41" t="str">
        <x:v>Medical Assistants Recognition Day</x:v>
      </x:c>
      <x:c r="B107" s="41" t="str">
        <x:v>医疗助理表彰日</x:v>
      </x:c>
      <x:c r="C107" s="41" t="str">
        <x:v>医疗助理周内核心单日，适合MA Day、medical assistant gift关键词。</x:v>
      </x:c>
      <x:c r="D107" s="41" t="str">
        <x:v>2026-10-21</x:v>
      </x:c>
      <x:c r="E107" s="41" t="str">
        <x:v>每年变动</x:v>
      </x:c>
      <x:c r="F107" s="41" t="str">
        <x:v>medical assistant gifts、MA week感谢礼、badge reel、钥匙扣</x:v>
      </x:c>
      <x:c r="G107" s="41" t="str">
        <x:v>2026-08-22 ~ 2026-09-06：先筛匹配SKU、历史销量、库存和利润空间。</x:v>
      </x:c>
      <x:c r="H107" s="41" t="str">
        <x:v>2026-09-21 ~ 2026-09-30：补关键词/ASIN、Listing埋词和广告预算。</x:v>
      </x:c>
      <x:c r="I107" s="41" t="str">
        <x:v>2026-10-07 ~ 2026-10-23：重点SKU每日看，普通SKU每2-3天看。</x:v>
      </x:c>
      <x:c r="J107" s="41" t="str">
        <x:f>IF(AND('今日提醒'!$B$2&gt;=$L107,'今日提醒'!$B$2&lt;=$M107,$L107=$M107),"节点当日",IF(AND('今日提醒'!$B$2&gt;=$L107,'今日提醒'!$B$2&lt;=$M107,'今日提醒'!$B$2&gt;$S107),"收尾下滑",IF(AND('今日提醒'!$B$2&gt;=$L107,'今日提醒'!$B$2&lt;=$M107),"节点进行中",IF(AND('今日提醒'!$B$2&gt;$M107,'今日提醒'!$B$2&lt;=$S107),"节后清尾",IF(AND('今日提醒'!$B$2&gt;=$R107,'今日提醒'!$B$2&lt;=$S107),"高频跟进",IF(AND('今日提醒'!$B$2&gt;=($R107-14),'今日提醒'!$B$2&lt;$R107,'今日提醒'!$B$2&lt;$L107),"临近高频",IF(AND(OR($A107="Chinese New Year",$A107="Super Bowl",$A107="Valentine's Day",$A107="Valentine Week",$A107="St. Patrick's Day",$A107="Easter",$A107="Graduation Season",$A107="Prom Season",$A107="Teacher Appreciation Week",$A107="Mother's Day",$A107="Memorial Day",$A107="Father's Day",$A107="Independence Day",$A107="Back-to-School Season",$A107="Labor Day",$A107="Halloween",$A107="Thanksgiving",$A107="Black Friday / Cyber Monday",$A107="Christmas",$A107="New Year's Eve / New Year Season"),'今日提醒'!$B$2&gt;=($R107-30),'今日提醒'!$B$2&lt;$R107,'今日提醒'!$B$2&lt;$L107),"大节气提前",IF(AND('今日提醒'!$B$2&gt;=$P107,'今日提醒'!$B$2&lt;=$Q107),"二次排查",IF(AND(OR($A107="Chinese New Year",$A107="Super Bowl",$A107="Valentine's Day",$A107="Valentine Week",$A107="St. Patrick's Day",$A107="Easter",$A107="Graduation Season",$A107="Prom Season",$A107="Teacher Appreciation Week",$A107="Mother's Day",$A107="Memorial Day",$A107="Father's Day",$A107="Independence Day",$A107="Back-to-School Season",$A107="Labor Day",$A107="Halloween",$A107="Thanksgiving",$A107="Black Friday / Cyber Monday",$A107="Christmas",$A107="New Year's Eve / New Year Season"),'今日提醒'!$B$2&gt;=($P107-14),'今日提醒'!$B$2&lt;$P107,'今日提醒'!$B$2&lt;$L107),"临近二次",IF(AND('今日提醒'!$B$2&gt;=$N107,'今日提醒'!$B$2&lt;=$O107),"一次排查",IF('今日提醒'!$B$2&lt;$N107,"未到排查",IF('今日提醒'!$B$2&lt;$L107,"等待下一窗口","已过"))))))))))))</x:f>
        <x:v>未到排查</x:v>
      </x:c>
      <x:c r="K107" s="41" t="str">
        <x:f>IF($J107="收尾下滑","主购买/高频窗口已过，流量可能走弱：不要盲目加预算或新建组；优先看库存压力、ACOS、广告占比、自然单，仅保留高转化词，计算清货/留仓。",IF($J107="节后清尾","节点已过但仍在清尾窗口：控低效词、降无效预算，复盘转化词；库存重则算清货，库存轻则吃完尾流。",IF($J107="节点当日","今天就是节点当日：优先看转化、库存承接、广告花费和尾流风险；可以吃最后一波有效流量，但不要再大范围新建或盲目加预算。",IF($J107="节点进行中","当前在节点/销售窗口内：这是进行中，不是预热；重点看销量、库存承接、广告花费、转化和是否已出现流量下滑。",IF($J107="高频跟进","今天在高频跟进窗口：头部SKU每日看；重点看高库存、高花费、断货风险和ACOS。",IF($J107="临近高频","高频窗口即将开始：今天先预查广告结构、关键词/ASIN、Listing埋词、库存承接和预算，避免临近节点再补。",IF($J107="大节气提前","大节气提前窗口：不要等高频当天再动；今天先锁定主推SKU、库存承接、Listing节日词、广告结构和预算上限，低相关/低库存产品不硬推。",IF($J107="二次排查","今天在二次排查窗口：补广告结构、关键词/ASIN、预算和Listing埋词。",IF($J107="临近二次","大节气二次排查即将开始：提前准备词/ASIN/图片/价格/促销，不等窗口当天才补结构。",IF($J107="一次排查","今天在一次排查窗口：先筛SKU，看历史动销、库存、利润和Listing匹配。",IF($J107="未到排查","暂不处理，等一次排查窗口。",IF($J107="等待下一窗口","暂不在排查窗口；等高频或节点开始，除非有库存/广告异常。","已过：复盘、降投、清尾或沉淀明年节点。"))))))))))))</x:f>
        <x:v>暂不处理，等一次排查窗口。</x:v>
      </x:c>
      <x:c r="L107" s="42" t="n">
        <x:v>46316</x:v>
      </x:c>
      <x:c r="M107" s="42" t="n">
        <x:v>46316</x:v>
      </x:c>
      <x:c r="N107" s="42" t="n">
        <x:v>46256</x:v>
      </x:c>
      <x:c r="O107" s="42" t="n">
        <x:v>46271</x:v>
      </x:c>
      <x:c r="P107" s="42" t="n">
        <x:v>46286</x:v>
      </x:c>
      <x:c r="Q107" s="42" t="n">
        <x:v>46295</x:v>
      </x:c>
      <x:c r="R107" s="42" t="n">
        <x:v>46302</x:v>
      </x:c>
      <x:c r="S107" s="42" t="n">
        <x:v>46318</x:v>
      </x:c>
      <x:c r="T107" s="43" t="n">
        <x:f>$L107-'今日提醒'!$B$2</x:f>
        <x:v>149</x:v>
      </x:c>
      <x:c r="U107" s="74" t="n">
        <x:f>IF(OR($J107="收尾下滑",$J107="节后清尾",$J107="节点当日",$J107="节点进行中",$J107="高频跟进",$J107="临近高频",$J107="大节气提前",$J107="二次排查",$J107="临近二次",$J107="一次排查"),IF($J107="收尾下滑",1,IF($J107="节后清尾",2,IF($J107="节点当日",3,IF($J107="节点进行中",4,IF($J107="高频跟进",5,IF($J107="临近高频",6,IF($J107="大节气提前",7,IF($J107="二次排查",8,IF($J107="临近二次",9,10)))))))))*100000+ROW(),99999999+ROW())</x:f>
        <x:v>100000106</x:v>
      </x:c>
      <x:c r="V107" s="15" t="str">
        <x:f>IF(OR($J107="收尾下滑",$J107="节后清尾"),"风险/止损",IF($J107="节点当日","机会/当日冲刺",IF($J107="节点进行中","机会/进行中",IF($J107="高频跟进","机会/高频",IF($J107="大节气提前","机会/大节气提前",IF(OR($J107="临近高频",$J107="临近二次",$J107="二次排查",$J107="一次排查"),"机会/预热","非今日"))))))</x:f>
        <x:v>非今日</x:v>
      </x:c>
      <x:c r="W107" s="15" t="str">
        <x:f>IF($J107="收尾下滑","控投/清尾/算留仓",IF($J107="节后清尾","节后降投/复盘",IF($J107="节点当日","当日冲刺/控尾流",IF($J107="节点进行中","转化监控/看趋势",IF($J107="高频跟进","放量+控ACOS",IF($J107="大节气提前","提前锁结构/预算",IF($J107="临近高频","预查结构/埋词",IF($J107="临近二次","提前补结构/埋词",IF($J107="二次排查","补结构/补词",IF($J107="一次排查","筛SKU/核库存","暂无"))))))))))</x:f>
        <x:v>暂无</x:v>
      </x:c>
      <x:c r="X107" s="15" t="str">
        <x:f>IF(AND('今日提醒'!$B$2&gt;=$L107,'今日提醒'!$B$2&lt;=$M107,$L107=$M107),"节点当日：不是预热",IF(AND('今日提醒'!$B$2&gt;=$L107,'今日提醒'!$B$2&lt;=$M107,'今日提醒'!$B$2&gt;$S107),"高频已结束但销售窗口未结束：疑似尾期/下滑",IF(AND('今日提醒'!$B$2&gt;$M107,'今日提醒'!$B$2&lt;=$S107),"节点已过但仍在清尾窗口",IF($J107="大节气提前","大节气高频前30天：提前进入主推准备",IF($J107="临近二次","大节气二次排查前14天：提前准备","")))))</x:f>
      </x:c>
    </x:row>
    <x:row r="108" ht="58" hidden="0" customHeight="1">
      <x:c r="A108" s="41" t="str">
        <x:v>National Pharmacy Week</x:v>
      </x:c>
      <x:c r="B108" s="41" t="str">
        <x:v>全国药房/药剂师周</x:v>
      </x:c>
      <x:c r="C108" s="41" t="str">
        <x:v>表彰药剂师与药房技术人员，适合pharmacist/pharmacy tech gifts。</x:v>
      </x:c>
      <x:c r="D108" s="41" t="str">
        <x:v>2026-10-18 ~ 2026-10-24</x:v>
      </x:c>
      <x:c r="E108" s="41" t="str">
        <x:v>每年变动</x:v>
      </x:c>
      <x:c r="F108" s="41" t="str">
        <x:v>pharmacist/pharmacy tech gifts、药剂师感谢礼、badge reel</x:v>
      </x:c>
      <x:c r="G108" s="41" t="str">
        <x:v>2026-08-04 ~ 2026-08-19：按职业词筛SKU，核库存、历史动销和礼品适配。</x:v>
      </x:c>
      <x:c r="H108" s="41" t="str">
        <x:v>2026-09-08 ~ 2026-09-18：建/补广告组，补关键词/ASIN，处理低效流量。</x:v>
      </x:c>
      <x:c r="I108" s="41" t="str">
        <x:v>2026-10-04 ~ 2026-10-24：高库存/高花费SKU每日看，其余2-3天看。</x:v>
      </x:c>
      <x:c r="J108" s="41" t="str">
        <x:f>IF(AND('今日提醒'!$B$2&gt;=$L108,'今日提醒'!$B$2&lt;=$M108,$L108=$M108),"节点当日",IF(AND('今日提醒'!$B$2&gt;=$L108,'今日提醒'!$B$2&lt;=$M108,'今日提醒'!$B$2&gt;$S108),"收尾下滑",IF(AND('今日提醒'!$B$2&gt;=$L108,'今日提醒'!$B$2&lt;=$M108),"节点进行中",IF(AND('今日提醒'!$B$2&gt;$M108,'今日提醒'!$B$2&lt;=$S108),"节后清尾",IF(AND('今日提醒'!$B$2&gt;=$R108,'今日提醒'!$B$2&lt;=$S108),"高频跟进",IF(AND('今日提醒'!$B$2&gt;=($R108-14),'今日提醒'!$B$2&lt;$R108,'今日提醒'!$B$2&lt;$L108),"临近高频",IF(AND(OR($A108="Chinese New Year",$A108="Super Bowl",$A108="Valentine's Day",$A108="Valentine Week",$A108="St. Patrick's Day",$A108="Easter",$A108="Graduation Season",$A108="Prom Season",$A108="Teacher Appreciation Week",$A108="Mother's Day",$A108="Memorial Day",$A108="Father's Day",$A108="Independence Day",$A108="Back-to-School Season",$A108="Labor Day",$A108="Halloween",$A108="Thanksgiving",$A108="Black Friday / Cyber Monday",$A108="Christmas",$A108="New Year's Eve / New Year Season"),'今日提醒'!$B$2&gt;=($R108-30),'今日提醒'!$B$2&lt;$R108,'今日提醒'!$B$2&lt;$L108),"大节气提前",IF(AND('今日提醒'!$B$2&gt;=$P108,'今日提醒'!$B$2&lt;=$Q108),"二次排查",IF(AND(OR($A108="Chinese New Year",$A108="Super Bowl",$A108="Valentine's Day",$A108="Valentine Week",$A108="St. Patrick's Day",$A108="Easter",$A108="Graduation Season",$A108="Prom Season",$A108="Teacher Appreciation Week",$A108="Mother's Day",$A108="Memorial Day",$A108="Father's Day",$A108="Independence Day",$A108="Back-to-School Season",$A108="Labor Day",$A108="Halloween",$A108="Thanksgiving",$A108="Black Friday / Cyber Monday",$A108="Christmas",$A108="New Year's Eve / New Year Season"),'今日提醒'!$B$2&gt;=($P108-14),'今日提醒'!$B$2&lt;$P108,'今日提醒'!$B$2&lt;$L108),"临近二次",IF(AND('今日提醒'!$B$2&gt;=$N108,'今日提醒'!$B$2&lt;=$O108),"一次排查",IF('今日提醒'!$B$2&lt;$N108,"未到排查",IF('今日提醒'!$B$2&lt;$L108,"等待下一窗口","已过"))))))))))))</x:f>
        <x:v>未到排查</x:v>
      </x:c>
      <x:c r="K108" s="41" t="str">
        <x:f>IF($J108="收尾下滑","主购买/高频窗口已过，流量可能走弱：不要盲目加预算或新建组；优先看库存压力、ACOS、广告占比、自然单，仅保留高转化词，计算清货/留仓。",IF($J108="节后清尾","节点已过但仍在清尾窗口：控低效词、降无效预算，复盘转化词；库存重则算清货，库存轻则吃完尾流。",IF($J108="节点当日","今天就是节点当日：优先看转化、库存承接、广告花费和尾流风险；可以吃最后一波有效流量，但不要再大范围新建或盲目加预算。",IF($J108="节点进行中","当前在节点/销售窗口内：这是进行中，不是预热；重点看销量、库存承接、广告花费、转化和是否已出现流量下滑。",IF($J108="高频跟进","今天在高频跟进窗口：头部SKU每日看；重点看高库存、高花费、断货风险和ACOS。",IF($J108="临近高频","高频窗口即将开始：今天先预查广告结构、关键词/ASIN、Listing埋词、库存承接和预算，避免临近节点再补。",IF($J108="大节气提前","大节气提前窗口：不要等高频当天再动；今天先锁定主推SKU、库存承接、Listing节日词、广告结构和预算上限，低相关/低库存产品不硬推。",IF($J108="二次排查","今天在二次排查窗口：补广告结构、关键词/ASIN、预算和Listing埋词。",IF($J108="临近二次","大节气二次排查即将开始：提前准备词/ASIN/图片/价格/促销，不等窗口当天才补结构。",IF($J108="一次排查","今天在一次排查窗口：先筛SKU，看历史动销、库存、利润和Listing匹配。",IF($J108="未到排查","暂不处理，等一次排查窗口。",IF($J108="等待下一窗口","暂不在排查窗口；等高频或节点开始，除非有库存/广告异常。","已过：复盘、降投、清尾或沉淀明年节点。"))))))))))))</x:f>
        <x:v>暂不处理，等一次排查窗口。</x:v>
      </x:c>
      <x:c r="L108" s="42" t="n">
        <x:v>46313</x:v>
      </x:c>
      <x:c r="M108" s="42" t="n">
        <x:v>46319</x:v>
      </x:c>
      <x:c r="N108" s="42" t="n">
        <x:v>46238</x:v>
      </x:c>
      <x:c r="O108" s="42" t="n">
        <x:v>46253</x:v>
      </x:c>
      <x:c r="P108" s="42" t="n">
        <x:v>46273</x:v>
      </x:c>
      <x:c r="Q108" s="42" t="n">
        <x:v>46283</x:v>
      </x:c>
      <x:c r="R108" s="42" t="n">
        <x:v>46299</x:v>
      </x:c>
      <x:c r="S108" s="42" t="n">
        <x:v>46319</x:v>
      </x:c>
      <x:c r="T108" s="43" t="n">
        <x:f>$L108-'今日提醒'!$B$2</x:f>
        <x:v>146</x:v>
      </x:c>
      <x:c r="U108" s="74" t="n">
        <x:f>IF(OR($J108="收尾下滑",$J108="节后清尾",$J108="节点当日",$J108="节点进行中",$J108="高频跟进",$J108="临近高频",$J108="大节气提前",$J108="二次排查",$J108="临近二次",$J108="一次排查"),IF($J108="收尾下滑",1,IF($J108="节后清尾",2,IF($J108="节点当日",3,IF($J108="节点进行中",4,IF($J108="高频跟进",5,IF($J108="临近高频",6,IF($J108="大节气提前",7,IF($J108="二次排查",8,IF($J108="临近二次",9,10)))))))))*100000+ROW(),99999999+ROW())</x:f>
        <x:v>100000107</x:v>
      </x:c>
      <x:c r="V108" s="15" t="str">
        <x:f>IF(OR($J108="收尾下滑",$J108="节后清尾"),"风险/止损",IF($J108="节点当日","机会/当日冲刺",IF($J108="节点进行中","机会/进行中",IF($J108="高频跟进","机会/高频",IF($J108="大节气提前","机会/大节气提前",IF(OR($J108="临近高频",$J108="临近二次",$J108="二次排查",$J108="一次排查"),"机会/预热","非今日"))))))</x:f>
        <x:v>非今日</x:v>
      </x:c>
      <x:c r="W108" s="15" t="str">
        <x:f>IF($J108="收尾下滑","控投/清尾/算留仓",IF($J108="节后清尾","节后降投/复盘",IF($J108="节点当日","当日冲刺/控尾流",IF($J108="节点进行中","转化监控/看趋势",IF($J108="高频跟进","放量+控ACOS",IF($J108="大节气提前","提前锁结构/预算",IF($J108="临近高频","预查结构/埋词",IF($J108="临近二次","提前补结构/埋词",IF($J108="二次排查","补结构/补词",IF($J108="一次排查","筛SKU/核库存","暂无"))))))))))</x:f>
        <x:v>暂无</x:v>
      </x:c>
      <x:c r="X108" s="15" t="str">
        <x:f>IF(AND('今日提醒'!$B$2&gt;=$L108,'今日提醒'!$B$2&lt;=$M108,$L108=$M108),"节点当日：不是预热",IF(AND('今日提醒'!$B$2&gt;=$L108,'今日提醒'!$B$2&lt;=$M108,'今日提醒'!$B$2&gt;$S108),"高频已结束但销售窗口未结束：疑似尾期/下滑",IF(AND('今日提醒'!$B$2&gt;$M108,'今日提醒'!$B$2&lt;=$S108),"节点已过但仍在清尾窗口",IF($J108="大节气提前","大节气高频前30天：提前进入主推准备",IF($J108="临近二次","大节气二次排查前14天：提前准备","")))))</x:f>
      </x:c>
    </x:row>
    <x:row r="109" ht="58" hidden="0" customHeight="1">
      <x:c r="A109" s="41" t="str">
        <x:v>Respiratory Care Week</x:v>
      </x:c>
      <x:c r="B109" s="41" t="str">
        <x:v>呼吸治疗周</x:v>
      </x:c>
      <x:c r="C109" s="41" t="str">
        <x:v>表彰呼吸治疗师，适合respiratory therapist/RT gifts。</x:v>
      </x:c>
      <x:c r="D109" s="41" t="str">
        <x:v>2026-10-25 ~ 2026-10-31</x:v>
      </x:c>
      <x:c r="E109" s="41" t="str">
        <x:v>每年变动：官方2026口径</x:v>
      </x:c>
      <x:c r="F109" s="41" t="str">
        <x:v>respiratory therapist gifts、RT week感谢礼、badge reel</x:v>
      </x:c>
      <x:c r="G109" s="41" t="str">
        <x:v>2026-08-11 ~ 2026-08-26：按职业词筛SKU，核库存、历史动销和礼品适配。</x:v>
      </x:c>
      <x:c r="H109" s="41" t="str">
        <x:v>2026-09-15 ~ 2026-09-25：建/补广告组，补关键词/ASIN，处理低效流量。</x:v>
      </x:c>
      <x:c r="I109" s="41" t="str">
        <x:v>2026-10-11 ~ 2026-10-31：高库存/高花费SKU每日看，其余2-3天看。</x:v>
      </x:c>
      <x:c r="J109" s="41" t="str">
        <x:f>IF(AND('今日提醒'!$B$2&gt;=$L109,'今日提醒'!$B$2&lt;=$M109,$L109=$M109),"节点当日",IF(AND('今日提醒'!$B$2&gt;=$L109,'今日提醒'!$B$2&lt;=$M109,'今日提醒'!$B$2&gt;$S109),"收尾下滑",IF(AND('今日提醒'!$B$2&gt;=$L109,'今日提醒'!$B$2&lt;=$M109),"节点进行中",IF(AND('今日提醒'!$B$2&gt;$M109,'今日提醒'!$B$2&lt;=$S109),"节后清尾",IF(AND('今日提醒'!$B$2&gt;=$R109,'今日提醒'!$B$2&lt;=$S109),"高频跟进",IF(AND('今日提醒'!$B$2&gt;=($R109-14),'今日提醒'!$B$2&lt;$R109,'今日提醒'!$B$2&lt;$L109),"临近高频",IF(AND(OR($A109="Chinese New Year",$A109="Super Bowl",$A109="Valentine's Day",$A109="Valentine Week",$A109="St. Patrick's Day",$A109="Easter",$A109="Graduation Season",$A109="Prom Season",$A109="Teacher Appreciation Week",$A109="Mother's Day",$A109="Memorial Day",$A109="Father's Day",$A109="Independence Day",$A109="Back-to-School Season",$A109="Labor Day",$A109="Halloween",$A109="Thanksgiving",$A109="Black Friday / Cyber Monday",$A109="Christmas",$A109="New Year's Eve / New Year Season"),'今日提醒'!$B$2&gt;=($R109-30),'今日提醒'!$B$2&lt;$R109,'今日提醒'!$B$2&lt;$L109),"大节气提前",IF(AND('今日提醒'!$B$2&gt;=$P109,'今日提醒'!$B$2&lt;=$Q109),"二次排查",IF(AND(OR($A109="Chinese New Year",$A109="Super Bowl",$A109="Valentine's Day",$A109="Valentine Week",$A109="St. Patrick's Day",$A109="Easter",$A109="Graduation Season",$A109="Prom Season",$A109="Teacher Appreciation Week",$A109="Mother's Day",$A109="Memorial Day",$A109="Father's Day",$A109="Independence Day",$A109="Back-to-School Season",$A109="Labor Day",$A109="Halloween",$A109="Thanksgiving",$A109="Black Friday / Cyber Monday",$A109="Christmas",$A109="New Year's Eve / New Year Season"),'今日提醒'!$B$2&gt;=($P109-14),'今日提醒'!$B$2&lt;$P109,'今日提醒'!$B$2&lt;$L109),"临近二次",IF(AND('今日提醒'!$B$2&gt;=$N109,'今日提醒'!$B$2&lt;=$O109),"一次排查",IF('今日提醒'!$B$2&lt;$N109,"未到排查",IF('今日提醒'!$B$2&lt;$L109,"等待下一窗口","已过"))))))))))))</x:f>
        <x:v>未到排查</x:v>
      </x:c>
      <x:c r="K109" s="41" t="str">
        <x:f>IF($J109="收尾下滑","主购买/高频窗口已过，流量可能走弱：不要盲目加预算或新建组；优先看库存压力、ACOS、广告占比、自然单，仅保留高转化词，计算清货/留仓。",IF($J109="节后清尾","节点已过但仍在清尾窗口：控低效词、降无效预算，复盘转化词；库存重则算清货，库存轻则吃完尾流。",IF($J109="节点当日","今天就是节点当日：优先看转化、库存承接、广告花费和尾流风险；可以吃最后一波有效流量，但不要再大范围新建或盲目加预算。",IF($J109="节点进行中","当前在节点/销售窗口内：这是进行中，不是预热；重点看销量、库存承接、广告花费、转化和是否已出现流量下滑。",IF($J109="高频跟进","今天在高频跟进窗口：头部SKU每日看；重点看高库存、高花费、断货风险和ACOS。",IF($J109="临近高频","高频窗口即将开始：今天先预查广告结构、关键词/ASIN、Listing埋词、库存承接和预算，避免临近节点再补。",IF($J109="大节气提前","大节气提前窗口：不要等高频当天再动；今天先锁定主推SKU、库存承接、Listing节日词、广告结构和预算上限，低相关/低库存产品不硬推。",IF($J109="二次排查","今天在二次排查窗口：补广告结构、关键词/ASIN、预算和Listing埋词。",IF($J109="临近二次","大节气二次排查即将开始：提前准备词/ASIN/图片/价格/促销，不等窗口当天才补结构。",IF($J109="一次排查","今天在一次排查窗口：先筛SKU，看历史动销、库存、利润和Listing匹配。",IF($J109="未到排查","暂不处理，等一次排查窗口。",IF($J109="等待下一窗口","暂不在排查窗口；等高频或节点开始，除非有库存/广告异常。","已过：复盘、降投、清尾或沉淀明年节点。"))))))))))))</x:f>
        <x:v>暂不处理，等一次排查窗口。</x:v>
      </x:c>
      <x:c r="L109" s="42" t="n">
        <x:v>46320</x:v>
      </x:c>
      <x:c r="M109" s="42" t="n">
        <x:v>46326</x:v>
      </x:c>
      <x:c r="N109" s="42" t="n">
        <x:v>46245</x:v>
      </x:c>
      <x:c r="O109" s="42" t="n">
        <x:v>46260</x:v>
      </x:c>
      <x:c r="P109" s="42" t="n">
        <x:v>46280</x:v>
      </x:c>
      <x:c r="Q109" s="42" t="n">
        <x:v>46290</x:v>
      </x:c>
      <x:c r="R109" s="42" t="n">
        <x:v>46306</x:v>
      </x:c>
      <x:c r="S109" s="42" t="n">
        <x:v>46326</x:v>
      </x:c>
      <x:c r="T109" s="43" t="n">
        <x:f>$L109-'今日提醒'!$B$2</x:f>
        <x:v>153</x:v>
      </x:c>
      <x:c r="U109" s="74" t="n">
        <x:f>IF(OR($J109="收尾下滑",$J109="节后清尾",$J109="节点当日",$J109="节点进行中",$J109="高频跟进",$J109="临近高频",$J109="大节气提前",$J109="二次排查",$J109="临近二次",$J109="一次排查"),IF($J109="收尾下滑",1,IF($J109="节后清尾",2,IF($J109="节点当日",3,IF($J109="节点进行中",4,IF($J109="高频跟进",5,IF($J109="临近高频",6,IF($J109="大节气提前",7,IF($J109="二次排查",8,IF($J109="临近二次",9,10)))))))))*100000+ROW(),99999999+ROW())</x:f>
        <x:v>100000108</x:v>
      </x:c>
      <x:c r="V109" s="15" t="str">
        <x:f>IF(OR($J109="收尾下滑",$J109="节后清尾"),"风险/止损",IF($J109="节点当日","机会/当日冲刺",IF($J109="节点进行中","机会/进行中",IF($J109="高频跟进","机会/高频",IF($J109="大节气提前","机会/大节气提前",IF(OR($J109="临近高频",$J109="临近二次",$J109="二次排查",$J109="一次排查"),"机会/预热","非今日"))))))</x:f>
        <x:v>非今日</x:v>
      </x:c>
      <x:c r="W109" s="15" t="str">
        <x:f>IF($J109="收尾下滑","控投/清尾/算留仓",IF($J109="节后清尾","节后降投/复盘",IF($J109="节点当日","当日冲刺/控尾流",IF($J109="节点进行中","转化监控/看趋势",IF($J109="高频跟进","放量+控ACOS",IF($J109="大节气提前","提前锁结构/预算",IF($J109="临近高频","预查结构/埋词",IF($J109="临近二次","提前补结构/埋词",IF($J109="二次排查","补结构/补词",IF($J109="一次排查","筛SKU/核库存","暂无"))))))))))</x:f>
        <x:v>暂无</x:v>
      </x:c>
      <x:c r="X109" s="15" t="str">
        <x:f>IF(AND('今日提醒'!$B$2&gt;=$L109,'今日提醒'!$B$2&lt;=$M109,$L109=$M109),"节点当日：不是预热",IF(AND('今日提醒'!$B$2&gt;=$L109,'今日提醒'!$B$2&lt;=$M109,'今日提醒'!$B$2&gt;$S109),"高频已结束但销售窗口未结束：疑似尾期/下滑",IF(AND('今日提醒'!$B$2&gt;$M109,'今日提醒'!$B$2&lt;=$S109),"节点已过但仍在清尾窗口",IF($J109="大节气提前","大节气高频前30天：提前进入主推准备",IF($J109="临近二次","大节气二次排查前14天：提前准备","")))))</x:f>
      </x:c>
    </x:row>
    <x:row r="110" ht="58" hidden="0" customHeight="1">
      <x:c r="A110" s="41" t="str">
        <x:v>Halloween</x:v>
      </x:c>
      <x:c r="B110" s="41" t="str">
        <x:v>万圣节</x:v>
      </x:c>
      <x:c r="C110" s="41" t="str">
        <x:v>美国秋季核心节日，带动装饰、服饰、派对、糖果和哥特元素。</x:v>
      </x:c>
      <x:c r="D110" s="41" t="str">
        <x:v>2026-10-31</x:v>
      </x:c>
      <x:c r="E110" s="41" t="str">
        <x:v>固定日期</x:v>
      </x:c>
      <x:c r="F110" s="41" t="str">
        <x:v>万圣节装饰、糖果袋、南瓜/幽灵元素、party favors</x:v>
      </x:c>
      <x:c r="G110" s="41" t="str">
        <x:v>2026-07-03 ~ 2026-08-02：先看历史销量、库存/FBA承接、是否需要改Listing。</x:v>
      </x:c>
      <x:c r="H110" s="41" t="str">
        <x:v>2026-09-01 ~ 2026-09-16：广告结构、关键词/ASIN、标题主图必须基本到位。</x:v>
      </x:c>
      <x:c r="I110" s="41" t="str">
        <x:v>2026-10-10 ~ 2026-11-03：头部SKU每日看，过后及时降投/清尾。</x:v>
      </x:c>
      <x:c r="J110" s="41" t="str">
        <x:f>IF(AND('今日提醒'!$B$2&gt;=$L110,'今日提醒'!$B$2&lt;=$M110,$L110=$M110),"节点当日",IF(AND('今日提醒'!$B$2&gt;=$L110,'今日提醒'!$B$2&lt;=$M110,'今日提醒'!$B$2&gt;$S110),"收尾下滑",IF(AND('今日提醒'!$B$2&gt;=$L110,'今日提醒'!$B$2&lt;=$M110),"节点进行中",IF(AND('今日提醒'!$B$2&gt;$M110,'今日提醒'!$B$2&lt;=$S110),"节后清尾",IF(AND('今日提醒'!$B$2&gt;=$R110,'今日提醒'!$B$2&lt;=$S110),"高频跟进",IF(AND('今日提醒'!$B$2&gt;=($R110-14),'今日提醒'!$B$2&lt;$R110,'今日提醒'!$B$2&lt;$L110),"临近高频",IF(AND(OR($A110="Chinese New Year",$A110="Super Bowl",$A110="Valentine's Day",$A110="Valentine Week",$A110="St. Patrick's Day",$A110="Easter",$A110="Graduation Season",$A110="Prom Season",$A110="Teacher Appreciation Week",$A110="Mother's Day",$A110="Memorial Day",$A110="Father's Day",$A110="Independence Day",$A110="Back-to-School Season",$A110="Labor Day",$A110="Halloween",$A110="Thanksgiving",$A110="Black Friday / Cyber Monday",$A110="Christmas",$A110="New Year's Eve / New Year Season"),'今日提醒'!$B$2&gt;=($R110-30),'今日提醒'!$B$2&lt;$R110,'今日提醒'!$B$2&lt;$L110),"大节气提前",IF(AND('今日提醒'!$B$2&gt;=$P110,'今日提醒'!$B$2&lt;=$Q110),"二次排查",IF(AND(OR($A110="Chinese New Year",$A110="Super Bowl",$A110="Valentine's Day",$A110="Valentine Week",$A110="St. Patrick's Day",$A110="Easter",$A110="Graduation Season",$A110="Prom Season",$A110="Teacher Appreciation Week",$A110="Mother's Day",$A110="Memorial Day",$A110="Father's Day",$A110="Independence Day",$A110="Back-to-School Season",$A110="Labor Day",$A110="Halloween",$A110="Thanksgiving",$A110="Black Friday / Cyber Monday",$A110="Christmas",$A110="New Year's Eve / New Year Season"),'今日提醒'!$B$2&gt;=($P110-14),'今日提醒'!$B$2&lt;$P110,'今日提醒'!$B$2&lt;$L110),"临近二次",IF(AND('今日提醒'!$B$2&gt;=$N110,'今日提醒'!$B$2&lt;=$O110),"一次排查",IF('今日提醒'!$B$2&lt;$N110,"未到排查",IF('今日提醒'!$B$2&lt;$L110,"等待下一窗口","已过"))))))))))))</x:f>
        <x:v>未到排查</x:v>
      </x:c>
      <x:c r="K110" s="41" t="str">
        <x:f>IF($J110="收尾下滑","主购买/高频窗口已过，流量可能走弱：不要盲目加预算或新建组；优先看库存压力、ACOS、广告占比、自然单，仅保留高转化词，计算清货/留仓。",IF($J110="节后清尾","节点已过但仍在清尾窗口：控低效词、降无效预算，复盘转化词；库存重则算清货，库存轻则吃完尾流。",IF($J110="节点当日","今天就是节点当日：优先看转化、库存承接、广告花费和尾流风险；可以吃最后一波有效流量，但不要再大范围新建或盲目加预算。",IF($J110="节点进行中","当前在节点/销售窗口内：这是进行中，不是预热；重点看销量、库存承接、广告花费、转化和是否已出现流量下滑。",IF($J110="高频跟进","今天在高频跟进窗口：头部SKU每日看；重点看高库存、高花费、断货风险和ACOS。",IF($J110="临近高频","高频窗口即将开始：今天先预查广告结构、关键词/ASIN、Listing埋词、库存承接和预算，避免临近节点再补。",IF($J110="大节气提前","大节气提前窗口：不要等高频当天再动；今天先锁定主推SKU、库存承接、Listing节日词、广告结构和预算上限，低相关/低库存产品不硬推。",IF($J110="二次排查","今天在二次排查窗口：补广告结构、关键词/ASIN、预算和Listing埋词。",IF($J110="临近二次","大节气二次排查即将开始：提前准备词/ASIN/图片/价格/促销，不等窗口当天才补结构。",IF($J110="一次排查","今天在一次排查窗口：先筛SKU，看历史动销、库存、利润和Listing匹配。",IF($J110="未到排查","暂不处理，等一次排查窗口。",IF($J110="等待下一窗口","暂不在排查窗口；等高频或节点开始，除非有库存/广告异常。","已过：复盘、降投、清尾或沉淀明年节点。"))))))))))))</x:f>
        <x:v>暂不处理，等一次排查窗口。</x:v>
      </x:c>
      <x:c r="L110" s="42" t="n">
        <x:v>46326</x:v>
      </x:c>
      <x:c r="M110" s="42" t="n">
        <x:v>46326</x:v>
      </x:c>
      <x:c r="N110" s="42" t="n">
        <x:v>46206</x:v>
      </x:c>
      <x:c r="O110" s="42" t="n">
        <x:v>46236</x:v>
      </x:c>
      <x:c r="P110" s="42" t="n">
        <x:v>46266</x:v>
      </x:c>
      <x:c r="Q110" s="42" t="n">
        <x:v>46281</x:v>
      </x:c>
      <x:c r="R110" s="42" t="n">
        <x:v>46305</x:v>
      </x:c>
      <x:c r="S110" s="42" t="n">
        <x:v>46329</x:v>
      </x:c>
      <x:c r="T110" s="43" t="n">
        <x:f>$L110-'今日提醒'!$B$2</x:f>
        <x:v>159</x:v>
      </x:c>
      <x:c r="U110" s="74" t="n">
        <x:f>IF(OR($J110="收尾下滑",$J110="节后清尾",$J110="节点当日",$J110="节点进行中",$J110="高频跟进",$J110="临近高频",$J110="大节气提前",$J110="二次排查",$J110="临近二次",$J110="一次排查"),IF($J110="收尾下滑",1,IF($J110="节后清尾",2,IF($J110="节点当日",3,IF($J110="节点进行中",4,IF($J110="高频跟进",5,IF($J110="临近高频",6,IF($J110="大节气提前",7,IF($J110="二次排查",8,IF($J110="临近二次",9,10)))))))))*100000+ROW(),99999999+ROW())</x:f>
        <x:v>100000109</x:v>
      </x:c>
      <x:c r="V110" s="15" t="str">
        <x:f>IF(OR($J110="收尾下滑",$J110="节后清尾"),"风险/止损",IF($J110="节点当日","机会/当日冲刺",IF($J110="节点进行中","机会/进行中",IF($J110="高频跟进","机会/高频",IF($J110="大节气提前","机会/大节气提前",IF(OR($J110="临近高频",$J110="临近二次",$J110="二次排查",$J110="一次排查"),"机会/预热","非今日"))))))</x:f>
        <x:v>非今日</x:v>
      </x:c>
      <x:c r="W110" s="15" t="str">
        <x:f>IF($J110="收尾下滑","控投/清尾/算留仓",IF($J110="节后清尾","节后降投/复盘",IF($J110="节点当日","当日冲刺/控尾流",IF($J110="节点进行中","转化监控/看趋势",IF($J110="高频跟进","放量+控ACOS",IF($J110="大节气提前","提前锁结构/预算",IF($J110="临近高频","预查结构/埋词",IF($J110="临近二次","提前补结构/埋词",IF($J110="二次排查","补结构/补词",IF($J110="一次排查","筛SKU/核库存","暂无"))))))))))</x:f>
        <x:v>暂无</x:v>
      </x:c>
      <x:c r="X110" s="15" t="str">
        <x:f>IF(AND('今日提醒'!$B$2&gt;=$L110,'今日提醒'!$B$2&lt;=$M110,$L110=$M110),"节点当日：不是预热",IF(AND('今日提醒'!$B$2&gt;=$L110,'今日提醒'!$B$2&lt;=$M110,'今日提醒'!$B$2&gt;$S110),"高频已结束但销售窗口未结束：疑似尾期/下滑",IF(AND('今日提醒'!$B$2&gt;$M110,'今日提醒'!$B$2&lt;=$S110),"节点已过但仍在清尾窗口",IF($J110="大节气提前","大节气高频前30天：提前进入主推准备",IF($J110="临近二次","大节气二次排查前14天：提前准备","")))))</x:f>
      </x:c>
    </x:row>
    <x:row r="111" ht="58" hidden="0" customHeight="1">
      <x:c r="A111" s="41" t="str">
        <x:v>Day of the Dead</x:v>
      </x:c>
      <x:c r="B111" s="41" t="str">
        <x:v>亡灵节/墨西哥亡灵节</x:v>
      </x:c>
      <x:c r="C111" s="41" t="str">
        <x:v>拉美文化纪念先人的节日，适合骷髅、万寿菊、祭坛装饰。</x:v>
      </x:c>
      <x:c r="D111" s="41" t="str">
        <x:v>2026-11-01 ~ 2026-11-02</x:v>
      </x:c>
      <x:c r="E111" s="41" t="str">
        <x:v>固定区间</x:v>
      </x:c>
      <x:c r="F111" s="41" t="str">
        <x:v>骷髅/万寿菊主题装饰、墨西哥文化礼品、派对用品</x:v>
      </x:c>
      <x:c r="G111" s="41" t="str">
        <x:v>2026-09-02 ~ 2026-09-17：先筛匹配SKU、历史销量、库存和利润空间。</x:v>
      </x:c>
      <x:c r="H111" s="41" t="str">
        <x:v>2026-10-02 ~ 2026-10-11：补关键词/ASIN、Listing埋词和广告预算。</x:v>
      </x:c>
      <x:c r="I111" s="41" t="str">
        <x:v>2026-10-18 ~ 2026-11-04：重点SKU每日看，普通SKU每2-3天看。</x:v>
      </x:c>
      <x:c r="J111" s="41" t="str">
        <x:f>IF(AND('今日提醒'!$B$2&gt;=$L111,'今日提醒'!$B$2&lt;=$M111,$L111=$M111),"节点当日",IF(AND('今日提醒'!$B$2&gt;=$L111,'今日提醒'!$B$2&lt;=$M111,'今日提醒'!$B$2&gt;$S111),"收尾下滑",IF(AND('今日提醒'!$B$2&gt;=$L111,'今日提醒'!$B$2&lt;=$M111),"节点进行中",IF(AND('今日提醒'!$B$2&gt;$M111,'今日提醒'!$B$2&lt;=$S111),"节后清尾",IF(AND('今日提醒'!$B$2&gt;=$R111,'今日提醒'!$B$2&lt;=$S111),"高频跟进",IF(AND('今日提醒'!$B$2&gt;=($R111-14),'今日提醒'!$B$2&lt;$R111,'今日提醒'!$B$2&lt;$L111),"临近高频",IF(AND(OR($A111="Chinese New Year",$A111="Super Bowl",$A111="Valentine's Day",$A111="Valentine Week",$A111="St. Patrick's Day",$A111="Easter",$A111="Graduation Season",$A111="Prom Season",$A111="Teacher Appreciation Week",$A111="Mother's Day",$A111="Memorial Day",$A111="Father's Day",$A111="Independence Day",$A111="Back-to-School Season",$A111="Labor Day",$A111="Halloween",$A111="Thanksgiving",$A111="Black Friday / Cyber Monday",$A111="Christmas",$A111="New Year's Eve / New Year Season"),'今日提醒'!$B$2&gt;=($R111-30),'今日提醒'!$B$2&lt;$R111,'今日提醒'!$B$2&lt;$L111),"大节气提前",IF(AND('今日提醒'!$B$2&gt;=$P111,'今日提醒'!$B$2&lt;=$Q111),"二次排查",IF(AND(OR($A111="Chinese New Year",$A111="Super Bowl",$A111="Valentine's Day",$A111="Valentine Week",$A111="St. Patrick's Day",$A111="Easter",$A111="Graduation Season",$A111="Prom Season",$A111="Teacher Appreciation Week",$A111="Mother's Day",$A111="Memorial Day",$A111="Father's Day",$A111="Independence Day",$A111="Back-to-School Season",$A111="Labor Day",$A111="Halloween",$A111="Thanksgiving",$A111="Black Friday / Cyber Monday",$A111="Christmas",$A111="New Year's Eve / New Year Season"),'今日提醒'!$B$2&gt;=($P111-14),'今日提醒'!$B$2&lt;$P111,'今日提醒'!$B$2&lt;$L111),"临近二次",IF(AND('今日提醒'!$B$2&gt;=$N111,'今日提醒'!$B$2&lt;=$O111),"一次排查",IF('今日提醒'!$B$2&lt;$N111,"未到排查",IF('今日提醒'!$B$2&lt;$L111,"等待下一窗口","已过"))))))))))))</x:f>
        <x:v>未到排查</x:v>
      </x:c>
      <x:c r="K111" s="41" t="str">
        <x:f>IF($J111="收尾下滑","主购买/高频窗口已过，流量可能走弱：不要盲目加预算或新建组；优先看库存压力、ACOS、广告占比、自然单，仅保留高转化词，计算清货/留仓。",IF($J111="节后清尾","节点已过但仍在清尾窗口：控低效词、降无效预算，复盘转化词；库存重则算清货，库存轻则吃完尾流。",IF($J111="节点当日","今天就是节点当日：优先看转化、库存承接、广告花费和尾流风险；可以吃最后一波有效流量，但不要再大范围新建或盲目加预算。",IF($J111="节点进行中","当前在节点/销售窗口内：这是进行中，不是预热；重点看销量、库存承接、广告花费、转化和是否已出现流量下滑。",IF($J111="高频跟进","今天在高频跟进窗口：头部SKU每日看；重点看高库存、高花费、断货风险和ACOS。",IF($J111="临近高频","高频窗口即将开始：今天先预查广告结构、关键词/ASIN、Listing埋词、库存承接和预算，避免临近节点再补。",IF($J111="大节气提前","大节气提前窗口：不要等高频当天再动；今天先锁定主推SKU、库存承接、Listing节日词、广告结构和预算上限，低相关/低库存产品不硬推。",IF($J111="二次排查","今天在二次排查窗口：补广告结构、关键词/ASIN、预算和Listing埋词。",IF($J111="临近二次","大节气二次排查即将开始：提前准备词/ASIN/图片/价格/促销，不等窗口当天才补结构。",IF($J111="一次排查","今天在一次排查窗口：先筛SKU，看历史动销、库存、利润和Listing匹配。",IF($J111="未到排查","暂不处理，等一次排查窗口。",IF($J111="等待下一窗口","暂不在排查窗口；等高频或节点开始，除非有库存/广告异常。","已过：复盘、降投、清尾或沉淀明年节点。"))))))))))))</x:f>
        <x:v>暂不处理，等一次排查窗口。</x:v>
      </x:c>
      <x:c r="L111" s="42" t="n">
        <x:v>46327</x:v>
      </x:c>
      <x:c r="M111" s="42" t="n">
        <x:v>46328</x:v>
      </x:c>
      <x:c r="N111" s="42" t="n">
        <x:v>46267</x:v>
      </x:c>
      <x:c r="O111" s="42" t="n">
        <x:v>46282</x:v>
      </x:c>
      <x:c r="P111" s="42" t="n">
        <x:v>46297</x:v>
      </x:c>
      <x:c r="Q111" s="42" t="n">
        <x:v>46306</x:v>
      </x:c>
      <x:c r="R111" s="42" t="n">
        <x:v>46313</x:v>
      </x:c>
      <x:c r="S111" s="42" t="n">
        <x:v>46330</x:v>
      </x:c>
      <x:c r="T111" s="43" t="n">
        <x:f>$L111-'今日提醒'!$B$2</x:f>
        <x:v>160</x:v>
      </x:c>
      <x:c r="U111" s="74" t="n">
        <x:f>IF(OR($J111="收尾下滑",$J111="节后清尾",$J111="节点当日",$J111="节点进行中",$J111="高频跟进",$J111="临近高频",$J111="大节气提前",$J111="二次排查",$J111="临近二次",$J111="一次排查"),IF($J111="收尾下滑",1,IF($J111="节后清尾",2,IF($J111="节点当日",3,IF($J111="节点进行中",4,IF($J111="高频跟进",5,IF($J111="临近高频",6,IF($J111="大节气提前",7,IF($J111="二次排查",8,IF($J111="临近二次",9,10)))))))))*100000+ROW(),99999999+ROW())</x:f>
        <x:v>100000110</x:v>
      </x:c>
      <x:c r="V111" s="15" t="str">
        <x:f>IF(OR($J111="收尾下滑",$J111="节后清尾"),"风险/止损",IF($J111="节点当日","机会/当日冲刺",IF($J111="节点进行中","机会/进行中",IF($J111="高频跟进","机会/高频",IF($J111="大节气提前","机会/大节气提前",IF(OR($J111="临近高频",$J111="临近二次",$J111="二次排查",$J111="一次排查"),"机会/预热","非今日"))))))</x:f>
        <x:v>非今日</x:v>
      </x:c>
      <x:c r="W111" s="15" t="str">
        <x:f>IF($J111="收尾下滑","控投/清尾/算留仓",IF($J111="节后清尾","节后降投/复盘",IF($J111="节点当日","当日冲刺/控尾流",IF($J111="节点进行中","转化监控/看趋势",IF($J111="高频跟进","放量+控ACOS",IF($J111="大节气提前","提前锁结构/预算",IF($J111="临近高频","预查结构/埋词",IF($J111="临近二次","提前补结构/埋词",IF($J111="二次排查","补结构/补词",IF($J111="一次排查","筛SKU/核库存","暂无"))))))))))</x:f>
        <x:v>暂无</x:v>
      </x:c>
      <x:c r="X111" s="15" t="str">
        <x:f>IF(AND('今日提醒'!$B$2&gt;=$L111,'今日提醒'!$B$2&lt;=$M111,$L111=$M111),"节点当日：不是预热",IF(AND('今日提醒'!$B$2&gt;=$L111,'今日提醒'!$B$2&lt;=$M111,'今日提醒'!$B$2&gt;$S111),"高频已结束但销售窗口未结束：疑似尾期/下滑",IF(AND('今日提醒'!$B$2&gt;$M111,'今日提醒'!$B$2&lt;=$S111),"节点已过但仍在清尾窗口",IF($J111="大节气提前","大节气高频前30天：提前进入主推准备",IF($J111="临近二次","大节气二次排查前14天：提前准备","")))))</x:f>
      </x:c>
    </x:row>
    <x:row r="112" ht="58" hidden="0" customHeight="1">
      <x:c r="A112" s="41" t="str">
        <x:v>National Radiologic Technology Week / Rad Tech Week</x:v>
      </x:c>
      <x:c r="B112" s="41" t="str">
        <x:v>放射技术周/X光技术周</x:v>
      </x:c>
      <x:c r="C112" s="41" t="str">
        <x:v>纪念X射线发现并表彰放射技术人员，适合rad tech gifts。</x:v>
      </x:c>
      <x:c r="D112" s="41" t="str">
        <x:v>2026-11-08 ~ 2026-11-14</x:v>
      </x:c>
      <x:c r="E112" s="41" t="str">
        <x:v>每年变动</x:v>
      </x:c>
      <x:c r="F112" s="41" t="str">
        <x:v>rad tech/x-ray tech gifts、放射技术员感谢礼、钥匙扣</x:v>
      </x:c>
      <x:c r="G112" s="41" t="str">
        <x:v>2026-08-25 ~ 2026-09-09：按职业词筛SKU，核库存、历史动销和礼品适配。</x:v>
      </x:c>
      <x:c r="H112" s="41" t="str">
        <x:v>2026-09-29 ~ 2026-10-09：建/补广告组，补关键词/ASIN，处理低效流量。</x:v>
      </x:c>
      <x:c r="I112" s="41" t="str">
        <x:v>2026-10-25 ~ 2026-11-14：高库存/高花费SKU每日看，其余2-3天看。</x:v>
      </x:c>
      <x:c r="J112" s="41" t="str">
        <x:f>IF(AND('今日提醒'!$B$2&gt;=$L112,'今日提醒'!$B$2&lt;=$M112,$L112=$M112),"节点当日",IF(AND('今日提醒'!$B$2&gt;=$L112,'今日提醒'!$B$2&lt;=$M112,'今日提醒'!$B$2&gt;$S112),"收尾下滑",IF(AND('今日提醒'!$B$2&gt;=$L112,'今日提醒'!$B$2&lt;=$M112),"节点进行中",IF(AND('今日提醒'!$B$2&gt;$M112,'今日提醒'!$B$2&lt;=$S112),"节后清尾",IF(AND('今日提醒'!$B$2&gt;=$R112,'今日提醒'!$B$2&lt;=$S112),"高频跟进",IF(AND('今日提醒'!$B$2&gt;=($R112-14),'今日提醒'!$B$2&lt;$R112,'今日提醒'!$B$2&lt;$L112),"临近高频",IF(AND(OR($A112="Chinese New Year",$A112="Super Bowl",$A112="Valentine's Day",$A112="Valentine Week",$A112="St. Patrick's Day",$A112="Easter",$A112="Graduation Season",$A112="Prom Season",$A112="Teacher Appreciation Week",$A112="Mother's Day",$A112="Memorial Day",$A112="Father's Day",$A112="Independence Day",$A112="Back-to-School Season",$A112="Labor Day",$A112="Halloween",$A112="Thanksgiving",$A112="Black Friday / Cyber Monday",$A112="Christmas",$A112="New Year's Eve / New Year Season"),'今日提醒'!$B$2&gt;=($R112-30),'今日提醒'!$B$2&lt;$R112,'今日提醒'!$B$2&lt;$L112),"大节气提前",IF(AND('今日提醒'!$B$2&gt;=$P112,'今日提醒'!$B$2&lt;=$Q112),"二次排查",IF(AND(OR($A112="Chinese New Year",$A112="Super Bowl",$A112="Valentine's Day",$A112="Valentine Week",$A112="St. Patrick's Day",$A112="Easter",$A112="Graduation Season",$A112="Prom Season",$A112="Teacher Appreciation Week",$A112="Mother's Day",$A112="Memorial Day",$A112="Father's Day",$A112="Independence Day",$A112="Back-to-School Season",$A112="Labor Day",$A112="Halloween",$A112="Thanksgiving",$A112="Black Friday / Cyber Monday",$A112="Christmas",$A112="New Year's Eve / New Year Season"),'今日提醒'!$B$2&gt;=($P112-14),'今日提醒'!$B$2&lt;$P112,'今日提醒'!$B$2&lt;$L112),"临近二次",IF(AND('今日提醒'!$B$2&gt;=$N112,'今日提醒'!$B$2&lt;=$O112),"一次排查",IF('今日提醒'!$B$2&lt;$N112,"未到排查",IF('今日提醒'!$B$2&lt;$L112,"等待下一窗口","已过"))))))))))))</x:f>
        <x:v>未到排查</x:v>
      </x:c>
      <x:c r="K112" s="41" t="str">
        <x:f>IF($J112="收尾下滑","主购买/高频窗口已过，流量可能走弱：不要盲目加预算或新建组；优先看库存压力、ACOS、广告占比、自然单，仅保留高转化词，计算清货/留仓。",IF($J112="节后清尾","节点已过但仍在清尾窗口：控低效词、降无效预算，复盘转化词；库存重则算清货，库存轻则吃完尾流。",IF($J112="节点当日","今天就是节点当日：优先看转化、库存承接、广告花费和尾流风险；可以吃最后一波有效流量，但不要再大范围新建或盲目加预算。",IF($J112="节点进行中","当前在节点/销售窗口内：这是进行中，不是预热；重点看销量、库存承接、广告花费、转化和是否已出现流量下滑。",IF($J112="高频跟进","今天在高频跟进窗口：头部SKU每日看；重点看高库存、高花费、断货风险和ACOS。",IF($J112="临近高频","高频窗口即将开始：今天先预查广告结构、关键词/ASIN、Listing埋词、库存承接和预算，避免临近节点再补。",IF($J112="大节气提前","大节气提前窗口：不要等高频当天再动；今天先锁定主推SKU、库存承接、Listing节日词、广告结构和预算上限，低相关/低库存产品不硬推。",IF($J112="二次排查","今天在二次排查窗口：补广告结构、关键词/ASIN、预算和Listing埋词。",IF($J112="临近二次","大节气二次排查即将开始：提前准备词/ASIN/图片/价格/促销，不等窗口当天才补结构。",IF($J112="一次排查","今天在一次排查窗口：先筛SKU，看历史动销、库存、利润和Listing匹配。",IF($J112="未到排查","暂不处理，等一次排查窗口。",IF($J112="等待下一窗口","暂不在排查窗口；等高频或节点开始，除非有库存/广告异常。","已过：复盘、降投、清尾或沉淀明年节点。"))))))))))))</x:f>
        <x:v>暂不处理，等一次排查窗口。</x:v>
      </x:c>
      <x:c r="L112" s="42" t="n">
        <x:v>46334</x:v>
      </x:c>
      <x:c r="M112" s="42" t="n">
        <x:v>46340</x:v>
      </x:c>
      <x:c r="N112" s="42" t="n">
        <x:v>46259</x:v>
      </x:c>
      <x:c r="O112" s="42" t="n">
        <x:v>46274</x:v>
      </x:c>
      <x:c r="P112" s="42" t="n">
        <x:v>46294</x:v>
      </x:c>
      <x:c r="Q112" s="42" t="n">
        <x:v>46304</x:v>
      </x:c>
      <x:c r="R112" s="42" t="n">
        <x:v>46320</x:v>
      </x:c>
      <x:c r="S112" s="42" t="n">
        <x:v>46340</x:v>
      </x:c>
      <x:c r="T112" s="43" t="n">
        <x:f>$L112-'今日提醒'!$B$2</x:f>
        <x:v>167</x:v>
      </x:c>
      <x:c r="U112" s="74" t="n">
        <x:f>IF(OR($J112="收尾下滑",$J112="节后清尾",$J112="节点当日",$J112="节点进行中",$J112="高频跟进",$J112="临近高频",$J112="大节气提前",$J112="二次排查",$J112="临近二次",$J112="一次排查"),IF($J112="收尾下滑",1,IF($J112="节后清尾",2,IF($J112="节点当日",3,IF($J112="节点进行中",4,IF($J112="高频跟进",5,IF($J112="临近高频",6,IF($J112="大节气提前",7,IF($J112="二次排查",8,IF($J112="临近二次",9,10)))))))))*100000+ROW(),99999999+ROW())</x:f>
        <x:v>100000111</x:v>
      </x:c>
      <x:c r="V112" s="15" t="str">
        <x:f>IF(OR($J112="收尾下滑",$J112="节后清尾"),"风险/止损",IF($J112="节点当日","机会/当日冲刺",IF($J112="节点进行中","机会/进行中",IF($J112="高频跟进","机会/高频",IF($J112="大节气提前","机会/大节气提前",IF(OR($J112="临近高频",$J112="临近二次",$J112="二次排查",$J112="一次排查"),"机会/预热","非今日"))))))</x:f>
        <x:v>非今日</x:v>
      </x:c>
      <x:c r="W112" s="15" t="str">
        <x:f>IF($J112="收尾下滑","控投/清尾/算留仓",IF($J112="节后清尾","节后降投/复盘",IF($J112="节点当日","当日冲刺/控尾流",IF($J112="节点进行中","转化监控/看趋势",IF($J112="高频跟进","放量+控ACOS",IF($J112="大节气提前","提前锁结构/预算",IF($J112="临近高频","预查结构/埋词",IF($J112="临近二次","提前补结构/埋词",IF($J112="二次排查","补结构/补词",IF($J112="一次排查","筛SKU/核库存","暂无"))))))))))</x:f>
        <x:v>暂无</x:v>
      </x:c>
      <x:c r="X112" s="15" t="str">
        <x:f>IF(AND('今日提醒'!$B$2&gt;=$L112,'今日提醒'!$B$2&lt;=$M112,$L112=$M112),"节点当日：不是预热",IF(AND('今日提醒'!$B$2&gt;=$L112,'今日提醒'!$B$2&lt;=$M112,'今日提醒'!$B$2&gt;$S112),"高频已结束但销售窗口未结束：疑似尾期/下滑",IF(AND('今日提醒'!$B$2&gt;$M112,'今日提醒'!$B$2&lt;=$S112),"节点已过但仍在清尾窗口",IF($J112="大节气提前","大节气高频前30天：提前进入主推准备",IF($J112="临近二次","大节气二次排查前14天：提前准备","")))))</x:f>
      </x:c>
    </x:row>
    <x:row r="113" ht="58" hidden="0" customHeight="1">
      <x:c r="A113" s="41" t="str">
        <x:v>Nurse Practitioner Week</x:v>
      </x:c>
      <x:c r="B113" s="41" t="str">
        <x:v>执业护士周/高级实践护士周</x:v>
      </x:c>
      <x:c r="C113" s="41" t="str">
        <x:v>表彰Nurse Practitioner的临床贡献，适合NP礼品。</x:v>
      </x:c>
      <x:c r="D113" s="41" t="str">
        <x:v>2026-11-08 ~ 2026-11-14</x:v>
      </x:c>
      <x:c r="E113" s="41" t="str">
        <x:v>每年变动</x:v>
      </x:c>
      <x:c r="F113" s="41" t="str">
        <x:v>NP gifts、nurse practitioner感谢礼、badge reel、钥匙扣</x:v>
      </x:c>
      <x:c r="G113" s="41" t="str">
        <x:v>2026-08-25 ~ 2026-09-09：按职业词筛SKU，核库存、历史动销和礼品适配。</x:v>
      </x:c>
      <x:c r="H113" s="41" t="str">
        <x:v>2026-09-29 ~ 2026-10-09：建/补广告组，补关键词/ASIN，处理低效流量。</x:v>
      </x:c>
      <x:c r="I113" s="41" t="str">
        <x:v>2026-10-25 ~ 2026-11-14：高库存/高花费SKU每日看，其余2-3天看。</x:v>
      </x:c>
      <x:c r="J113" s="41" t="str">
        <x:f>IF(AND('今日提醒'!$B$2&gt;=$L113,'今日提醒'!$B$2&lt;=$M113,$L113=$M113),"节点当日",IF(AND('今日提醒'!$B$2&gt;=$L113,'今日提醒'!$B$2&lt;=$M113,'今日提醒'!$B$2&gt;$S113),"收尾下滑",IF(AND('今日提醒'!$B$2&gt;=$L113,'今日提醒'!$B$2&lt;=$M113),"节点进行中",IF(AND('今日提醒'!$B$2&gt;$M113,'今日提醒'!$B$2&lt;=$S113),"节后清尾",IF(AND('今日提醒'!$B$2&gt;=$R113,'今日提醒'!$B$2&lt;=$S113),"高频跟进",IF(AND('今日提醒'!$B$2&gt;=($R113-14),'今日提醒'!$B$2&lt;$R113,'今日提醒'!$B$2&lt;$L113),"临近高频",IF(AND(OR($A113="Chinese New Year",$A113="Super Bowl",$A113="Valentine's Day",$A113="Valentine Week",$A113="St. Patrick's Day",$A113="Easter",$A113="Graduation Season",$A113="Prom Season",$A113="Teacher Appreciation Week",$A113="Mother's Day",$A113="Memorial Day",$A113="Father's Day",$A113="Independence Day",$A113="Back-to-School Season",$A113="Labor Day",$A113="Halloween",$A113="Thanksgiving",$A113="Black Friday / Cyber Monday",$A113="Christmas",$A113="New Year's Eve / New Year Season"),'今日提醒'!$B$2&gt;=($R113-30),'今日提醒'!$B$2&lt;$R113,'今日提醒'!$B$2&lt;$L113),"大节气提前",IF(AND('今日提醒'!$B$2&gt;=$P113,'今日提醒'!$B$2&lt;=$Q113),"二次排查",IF(AND(OR($A113="Chinese New Year",$A113="Super Bowl",$A113="Valentine's Day",$A113="Valentine Week",$A113="St. Patrick's Day",$A113="Easter",$A113="Graduation Season",$A113="Prom Season",$A113="Teacher Appreciation Week",$A113="Mother's Day",$A113="Memorial Day",$A113="Father's Day",$A113="Independence Day",$A113="Back-to-School Season",$A113="Labor Day",$A113="Halloween",$A113="Thanksgiving",$A113="Black Friday / Cyber Monday",$A113="Christmas",$A113="New Year's Eve / New Year Season"),'今日提醒'!$B$2&gt;=($P113-14),'今日提醒'!$B$2&lt;$P113,'今日提醒'!$B$2&lt;$L113),"临近二次",IF(AND('今日提醒'!$B$2&gt;=$N113,'今日提醒'!$B$2&lt;=$O113),"一次排查",IF('今日提醒'!$B$2&lt;$N113,"未到排查",IF('今日提醒'!$B$2&lt;$L113,"等待下一窗口","已过"))))))))))))</x:f>
        <x:v>未到排查</x:v>
      </x:c>
      <x:c r="K113" s="41" t="str">
        <x:f>IF($J113="收尾下滑","主购买/高频窗口已过，流量可能走弱：不要盲目加预算或新建组；优先看库存压力、ACOS、广告占比、自然单，仅保留高转化词，计算清货/留仓。",IF($J113="节后清尾","节点已过但仍在清尾窗口：控低效词、降无效预算，复盘转化词；库存重则算清货，库存轻则吃完尾流。",IF($J113="节点当日","今天就是节点当日：优先看转化、库存承接、广告花费和尾流风险；可以吃最后一波有效流量，但不要再大范围新建或盲目加预算。",IF($J113="节点进行中","当前在节点/销售窗口内：这是进行中，不是预热；重点看销量、库存承接、广告花费、转化和是否已出现流量下滑。",IF($J113="高频跟进","今天在高频跟进窗口：头部SKU每日看；重点看高库存、高花费、断货风险和ACOS。",IF($J113="临近高频","高频窗口即将开始：今天先预查广告结构、关键词/ASIN、Listing埋词、库存承接和预算，避免临近节点再补。",IF($J113="大节气提前","大节气提前窗口：不要等高频当天再动；今天先锁定主推SKU、库存承接、Listing节日词、广告结构和预算上限，低相关/低库存产品不硬推。",IF($J113="二次排查","今天在二次排查窗口：补广告结构、关键词/ASIN、预算和Listing埋词。",IF($J113="临近二次","大节气二次排查即将开始：提前准备词/ASIN/图片/价格/促销，不等窗口当天才补结构。",IF($J113="一次排查","今天在一次排查窗口：先筛SKU，看历史动销、库存、利润和Listing匹配。",IF($J113="未到排查","暂不处理，等一次排查窗口。",IF($J113="等待下一窗口","暂不在排查窗口；等高频或节点开始，除非有库存/广告异常。","已过：复盘、降投、清尾或沉淀明年节点。"))))))))))))</x:f>
        <x:v>暂不处理，等一次排查窗口。</x:v>
      </x:c>
      <x:c r="L113" s="42" t="n">
        <x:v>46334</x:v>
      </x:c>
      <x:c r="M113" s="42" t="n">
        <x:v>46340</x:v>
      </x:c>
      <x:c r="N113" s="42" t="n">
        <x:v>46259</x:v>
      </x:c>
      <x:c r="O113" s="42" t="n">
        <x:v>46274</x:v>
      </x:c>
      <x:c r="P113" s="42" t="n">
        <x:v>46294</x:v>
      </x:c>
      <x:c r="Q113" s="42" t="n">
        <x:v>46304</x:v>
      </x:c>
      <x:c r="R113" s="42" t="n">
        <x:v>46320</x:v>
      </x:c>
      <x:c r="S113" s="42" t="n">
        <x:v>46340</x:v>
      </x:c>
      <x:c r="T113" s="43" t="n">
        <x:f>$L113-'今日提醒'!$B$2</x:f>
        <x:v>167</x:v>
      </x:c>
      <x:c r="U113" s="74" t="n">
        <x:f>IF(OR($J113="收尾下滑",$J113="节后清尾",$J113="节点当日",$J113="节点进行中",$J113="高频跟进",$J113="临近高频",$J113="大节气提前",$J113="二次排查",$J113="临近二次",$J113="一次排查"),IF($J113="收尾下滑",1,IF($J113="节后清尾",2,IF($J113="节点当日",3,IF($J113="节点进行中",4,IF($J113="高频跟进",5,IF($J113="临近高频",6,IF($J113="大节气提前",7,IF($J113="二次排查",8,IF($J113="临近二次",9,10)))))))))*100000+ROW(),99999999+ROW())</x:f>
        <x:v>100000112</x:v>
      </x:c>
      <x:c r="V113" s="15" t="str">
        <x:f>IF(OR($J113="收尾下滑",$J113="节后清尾"),"风险/止损",IF($J113="节点当日","机会/当日冲刺",IF($J113="节点进行中","机会/进行中",IF($J113="高频跟进","机会/高频",IF($J113="大节气提前","机会/大节气提前",IF(OR($J113="临近高频",$J113="临近二次",$J113="二次排查",$J113="一次排查"),"机会/预热","非今日"))))))</x:f>
        <x:v>非今日</x:v>
      </x:c>
      <x:c r="W113" s="15" t="str">
        <x:f>IF($J113="收尾下滑","控投/清尾/算留仓",IF($J113="节后清尾","节后降投/复盘",IF($J113="节点当日","当日冲刺/控尾流",IF($J113="节点进行中","转化监控/看趋势",IF($J113="高频跟进","放量+控ACOS",IF($J113="大节气提前","提前锁结构/预算",IF($J113="临近高频","预查结构/埋词",IF($J113="临近二次","提前补结构/埋词",IF($J113="二次排查","补结构/补词",IF($J113="一次排查","筛SKU/核库存","暂无"))))))))))</x:f>
        <x:v>暂无</x:v>
      </x:c>
      <x:c r="X113" s="15" t="str">
        <x:f>IF(AND('今日提醒'!$B$2&gt;=$L113,'今日提醒'!$B$2&lt;=$M113,$L113=$M113),"节点当日：不是预热",IF(AND('今日提醒'!$B$2&gt;=$L113,'今日提醒'!$B$2&lt;=$M113,'今日提醒'!$B$2&gt;$S113),"高频已结束但销售窗口未结束：疑似尾期/下滑",IF(AND('今日提醒'!$B$2&gt;$M113,'今日提醒'!$B$2&lt;=$S113),"节点已过但仍在清尾窗口",IF($J113="大节气提前","大节气高频前30天：提前进入主推准备",IF($J113="临近二次","大节气二次排查前14天：提前准备","")))))</x:f>
      </x:c>
    </x:row>
    <x:row r="114" ht="58" hidden="0" customHeight="1">
      <x:c r="A114" s="41" t="str">
        <x:v>Perioperative Nurses Week</x:v>
      </x:c>
      <x:c r="B114" s="41" t="str">
        <x:v>围手术期护士周/手术室护士周</x:v>
      </x:c>
      <x:c r="C114" s="41" t="str">
        <x:v>表彰手术室及围手术期护士，适合OR nurse/perioperative nurse礼品。</x:v>
      </x:c>
      <x:c r="D114" s="41" t="str">
        <x:v>2026-11-08 ~ 2026-11-14</x:v>
      </x:c>
      <x:c r="E114" s="41" t="str">
        <x:v>每年变动</x:v>
      </x:c>
      <x:c r="F114" s="41" t="str">
        <x:v>OR nurse/perioperative nurse gifts、手术室护士感谢礼</x:v>
      </x:c>
      <x:c r="G114" s="41" t="str">
        <x:v>2026-08-25 ~ 2026-09-09：按职业词筛SKU，核库存、历史动销和礼品适配。</x:v>
      </x:c>
      <x:c r="H114" s="41" t="str">
        <x:v>2026-09-29 ~ 2026-10-09：建/补广告组，补关键词/ASIN，处理低效流量。</x:v>
      </x:c>
      <x:c r="I114" s="41" t="str">
        <x:v>2026-10-25 ~ 2026-11-14：高库存/高花费SKU每日看，其余2-3天看。</x:v>
      </x:c>
      <x:c r="J114" s="41" t="str">
        <x:f>IF(AND('今日提醒'!$B$2&gt;=$L114,'今日提醒'!$B$2&lt;=$M114,$L114=$M114),"节点当日",IF(AND('今日提醒'!$B$2&gt;=$L114,'今日提醒'!$B$2&lt;=$M114,'今日提醒'!$B$2&gt;$S114),"收尾下滑",IF(AND('今日提醒'!$B$2&gt;=$L114,'今日提醒'!$B$2&lt;=$M114),"节点进行中",IF(AND('今日提醒'!$B$2&gt;$M114,'今日提醒'!$B$2&lt;=$S114),"节后清尾",IF(AND('今日提醒'!$B$2&gt;=$R114,'今日提醒'!$B$2&lt;=$S114),"高频跟进",IF(AND('今日提醒'!$B$2&gt;=($R114-14),'今日提醒'!$B$2&lt;$R114,'今日提醒'!$B$2&lt;$L114),"临近高频",IF(AND(OR($A114="Chinese New Year",$A114="Super Bowl",$A114="Valentine's Day",$A114="Valentine Week",$A114="St. Patrick's Day",$A114="Easter",$A114="Graduation Season",$A114="Prom Season",$A114="Teacher Appreciation Week",$A114="Mother's Day",$A114="Memorial Day",$A114="Father's Day",$A114="Independence Day",$A114="Back-to-School Season",$A114="Labor Day",$A114="Halloween",$A114="Thanksgiving",$A114="Black Friday / Cyber Monday",$A114="Christmas",$A114="New Year's Eve / New Year Season"),'今日提醒'!$B$2&gt;=($R114-30),'今日提醒'!$B$2&lt;$R114,'今日提醒'!$B$2&lt;$L114),"大节气提前",IF(AND('今日提醒'!$B$2&gt;=$P114,'今日提醒'!$B$2&lt;=$Q114),"二次排查",IF(AND(OR($A114="Chinese New Year",$A114="Super Bowl",$A114="Valentine's Day",$A114="Valentine Week",$A114="St. Patrick's Day",$A114="Easter",$A114="Graduation Season",$A114="Prom Season",$A114="Teacher Appreciation Week",$A114="Mother's Day",$A114="Memorial Day",$A114="Father's Day",$A114="Independence Day",$A114="Back-to-School Season",$A114="Labor Day",$A114="Halloween",$A114="Thanksgiving",$A114="Black Friday / Cyber Monday",$A114="Christmas",$A114="New Year's Eve / New Year Season"),'今日提醒'!$B$2&gt;=($P114-14),'今日提醒'!$B$2&lt;$P114,'今日提醒'!$B$2&lt;$L114),"临近二次",IF(AND('今日提醒'!$B$2&gt;=$N114,'今日提醒'!$B$2&lt;=$O114),"一次排查",IF('今日提醒'!$B$2&lt;$N114,"未到排查",IF('今日提醒'!$B$2&lt;$L114,"等待下一窗口","已过"))))))))))))</x:f>
        <x:v>未到排查</x:v>
      </x:c>
      <x:c r="K114" s="41" t="str">
        <x:f>IF($J114="收尾下滑","主购买/高频窗口已过，流量可能走弱：不要盲目加预算或新建组；优先看库存压力、ACOS、广告占比、自然单，仅保留高转化词，计算清货/留仓。",IF($J114="节后清尾","节点已过但仍在清尾窗口：控低效词、降无效预算，复盘转化词；库存重则算清货，库存轻则吃完尾流。",IF($J114="节点当日","今天就是节点当日：优先看转化、库存承接、广告花费和尾流风险；可以吃最后一波有效流量，但不要再大范围新建或盲目加预算。",IF($J114="节点进行中","当前在节点/销售窗口内：这是进行中，不是预热；重点看销量、库存承接、广告花费、转化和是否已出现流量下滑。",IF($J114="高频跟进","今天在高频跟进窗口：头部SKU每日看；重点看高库存、高花费、断货风险和ACOS。",IF($J114="临近高频","高频窗口即将开始：今天先预查广告结构、关键词/ASIN、Listing埋词、库存承接和预算，避免临近节点再补。",IF($J114="大节气提前","大节气提前窗口：不要等高频当天再动；今天先锁定主推SKU、库存承接、Listing节日词、广告结构和预算上限，低相关/低库存产品不硬推。",IF($J114="二次排查","今天在二次排查窗口：补广告结构、关键词/ASIN、预算和Listing埋词。",IF($J114="临近二次","大节气二次排查即将开始：提前准备词/ASIN/图片/价格/促销，不等窗口当天才补结构。",IF($J114="一次排查","今天在一次排查窗口：先筛SKU，看历史动销、库存、利润和Listing匹配。",IF($J114="未到排查","暂不处理，等一次排查窗口。",IF($J114="等待下一窗口","暂不在排查窗口；等高频或节点开始，除非有库存/广告异常。","已过：复盘、降投、清尾或沉淀明年节点。"))))))))))))</x:f>
        <x:v>暂不处理，等一次排查窗口。</x:v>
      </x:c>
      <x:c r="L114" s="42" t="n">
        <x:v>46334</x:v>
      </x:c>
      <x:c r="M114" s="42" t="n">
        <x:v>46340</x:v>
      </x:c>
      <x:c r="N114" s="42" t="n">
        <x:v>46259</x:v>
      </x:c>
      <x:c r="O114" s="42" t="n">
        <x:v>46274</x:v>
      </x:c>
      <x:c r="P114" s="42" t="n">
        <x:v>46294</x:v>
      </x:c>
      <x:c r="Q114" s="42" t="n">
        <x:v>46304</x:v>
      </x:c>
      <x:c r="R114" s="42" t="n">
        <x:v>46320</x:v>
      </x:c>
      <x:c r="S114" s="42" t="n">
        <x:v>46340</x:v>
      </x:c>
      <x:c r="T114" s="43" t="n">
        <x:f>$L114-'今日提醒'!$B$2</x:f>
        <x:v>167</x:v>
      </x:c>
      <x:c r="U114" s="74" t="n">
        <x:f>IF(OR($J114="收尾下滑",$J114="节后清尾",$J114="节点当日",$J114="节点进行中",$J114="高频跟进",$J114="临近高频",$J114="大节气提前",$J114="二次排查",$J114="临近二次",$J114="一次排查"),IF($J114="收尾下滑",1,IF($J114="节后清尾",2,IF($J114="节点当日",3,IF($J114="节点进行中",4,IF($J114="高频跟进",5,IF($J114="临近高频",6,IF($J114="大节气提前",7,IF($J114="二次排查",8,IF($J114="临近二次",9,10)))))))))*100000+ROW(),99999999+ROW())</x:f>
        <x:v>100000113</x:v>
      </x:c>
      <x:c r="V114" s="15" t="str">
        <x:f>IF(OR($J114="收尾下滑",$J114="节后清尾"),"风险/止损",IF($J114="节点当日","机会/当日冲刺",IF($J114="节点进行中","机会/进行中",IF($J114="高频跟进","机会/高频",IF($J114="大节气提前","机会/大节气提前",IF(OR($J114="临近高频",$J114="临近二次",$J114="二次排查",$J114="一次排查"),"机会/预热","非今日"))))))</x:f>
        <x:v>非今日</x:v>
      </x:c>
      <x:c r="W114" s="15" t="str">
        <x:f>IF($J114="收尾下滑","控投/清尾/算留仓",IF($J114="节后清尾","节后降投/复盘",IF($J114="节点当日","当日冲刺/控尾流",IF($J114="节点进行中","转化监控/看趋势",IF($J114="高频跟进","放量+控ACOS",IF($J114="大节气提前","提前锁结构/预算",IF($J114="临近高频","预查结构/埋词",IF($J114="临近二次","提前补结构/埋词",IF($J114="二次排查","补结构/补词",IF($J114="一次排查","筛SKU/核库存","暂无"))))))))))</x:f>
        <x:v>暂无</x:v>
      </x:c>
      <x:c r="X114" s="15" t="str">
        <x:f>IF(AND('今日提醒'!$B$2&gt;=$L114,'今日提醒'!$B$2&lt;=$M114,$L114=$M114),"节点当日：不是预热",IF(AND('今日提醒'!$B$2&gt;=$L114,'今日提醒'!$B$2&lt;=$M114,'今日提醒'!$B$2&gt;$S114),"高频已结束但销售窗口未结束：疑似尾期/下滑",IF(AND('今日提醒'!$B$2&gt;$M114,'今日提醒'!$B$2&lt;=$S114),"节点已过但仍在清尾窗口",IF($J114="大节气提前","大节气高频前30天：提前进入主推准备",IF($J114="临近二次","大节气二次排查前14天：提前准备","")))))</x:f>
      </x:c>
    </x:row>
    <x:row r="115" ht="58" hidden="0" customHeight="1">
      <x:c r="A115" s="41" t="str">
        <x:v>Veterans Day</x:v>
      </x:c>
      <x:c r="B115" s="41" t="str">
        <x:v>退伍军人节</x:v>
      </x:c>
      <x:c r="C115" s="41" t="str">
        <x:v>美国联邦假日，感谢服役退伍军人，适合veteran、military、patriotic thank you礼品。</x:v>
      </x:c>
      <x:c r="D115" s="41" t="str">
        <x:v>2026-11-11</x:v>
      </x:c>
      <x:c r="E115" s="41" t="str">
        <x:v>固定日期</x:v>
      </x:c>
      <x:c r="F115" s="41" t="str">
        <x:v>patriotic gifts、USA旗帜元素、veteran/military thank you礼品、钥匙扣</x:v>
      </x:c>
      <x:c r="G115" s="41" t="str">
        <x:v>2026-09-12 ~ 2026-09-27：先筛匹配SKU、历史销量、库存和利润空间。</x:v>
      </x:c>
      <x:c r="H115" s="41" t="str">
        <x:v>2026-10-12 ~ 2026-10-21：补关键词/ASIN、Listing埋词和广告预算。</x:v>
      </x:c>
      <x:c r="I115" s="41" t="str">
        <x:v>2026-10-28 ~ 2026-11-13：重点SKU每日看，普通SKU每2-3天看。</x:v>
      </x:c>
      <x:c r="J115" s="41" t="str">
        <x:f>IF(AND('今日提醒'!$B$2&gt;=$L115,'今日提醒'!$B$2&lt;=$M115,$L115=$M115),"节点当日",IF(AND('今日提醒'!$B$2&gt;=$L115,'今日提醒'!$B$2&lt;=$M115,'今日提醒'!$B$2&gt;$S115),"收尾下滑",IF(AND('今日提醒'!$B$2&gt;=$L115,'今日提醒'!$B$2&lt;=$M115),"节点进行中",IF(AND('今日提醒'!$B$2&gt;$M115,'今日提醒'!$B$2&lt;=$S115),"节后清尾",IF(AND('今日提醒'!$B$2&gt;=$R115,'今日提醒'!$B$2&lt;=$S115),"高频跟进",IF(AND('今日提醒'!$B$2&gt;=($R115-14),'今日提醒'!$B$2&lt;$R115,'今日提醒'!$B$2&lt;$L115),"临近高频",IF(AND(OR($A115="Chinese New Year",$A115="Super Bowl",$A115="Valentine's Day",$A115="Valentine Week",$A115="St. Patrick's Day",$A115="Easter",$A115="Graduation Season",$A115="Prom Season",$A115="Teacher Appreciation Week",$A115="Mother's Day",$A115="Memorial Day",$A115="Father's Day",$A115="Independence Day",$A115="Back-to-School Season",$A115="Labor Day",$A115="Halloween",$A115="Thanksgiving",$A115="Black Friday / Cyber Monday",$A115="Christmas",$A115="New Year's Eve / New Year Season"),'今日提醒'!$B$2&gt;=($R115-30),'今日提醒'!$B$2&lt;$R115,'今日提醒'!$B$2&lt;$L115),"大节气提前",IF(AND('今日提醒'!$B$2&gt;=$P115,'今日提醒'!$B$2&lt;=$Q115),"二次排查",IF(AND(OR($A115="Chinese New Year",$A115="Super Bowl",$A115="Valentine's Day",$A115="Valentine Week",$A115="St. Patrick's Day",$A115="Easter",$A115="Graduation Season",$A115="Prom Season",$A115="Teacher Appreciation Week",$A115="Mother's Day",$A115="Memorial Day",$A115="Father's Day",$A115="Independence Day",$A115="Back-to-School Season",$A115="Labor Day",$A115="Halloween",$A115="Thanksgiving",$A115="Black Friday / Cyber Monday",$A115="Christmas",$A115="New Year's Eve / New Year Season"),'今日提醒'!$B$2&gt;=($P115-14),'今日提醒'!$B$2&lt;$P115,'今日提醒'!$B$2&lt;$L115),"临近二次",IF(AND('今日提醒'!$B$2&gt;=$N115,'今日提醒'!$B$2&lt;=$O115),"一次排查",IF('今日提醒'!$B$2&lt;$N115,"未到排查",IF('今日提醒'!$B$2&lt;$L115,"等待下一窗口","已过"))))))))))))</x:f>
        <x:v>未到排查</x:v>
      </x:c>
      <x:c r="K115" s="41" t="str">
        <x:f>IF($J115="收尾下滑","主购买/高频窗口已过，流量可能走弱：不要盲目加预算或新建组；优先看库存压力、ACOS、广告占比、自然单，仅保留高转化词，计算清货/留仓。",IF($J115="节后清尾","节点已过但仍在清尾窗口：控低效词、降无效预算，复盘转化词；库存重则算清货，库存轻则吃完尾流。",IF($J115="节点当日","今天就是节点当日：优先看转化、库存承接、广告花费和尾流风险；可以吃最后一波有效流量，但不要再大范围新建或盲目加预算。",IF($J115="节点进行中","当前在节点/销售窗口内：这是进行中，不是预热；重点看销量、库存承接、广告花费、转化和是否已出现流量下滑。",IF($J115="高频跟进","今天在高频跟进窗口：头部SKU每日看；重点看高库存、高花费、断货风险和ACOS。",IF($J115="临近高频","高频窗口即将开始：今天先预查广告结构、关键词/ASIN、Listing埋词、库存承接和预算，避免临近节点再补。",IF($J115="大节气提前","大节气提前窗口：不要等高频当天再动；今天先锁定主推SKU、库存承接、Listing节日词、广告结构和预算上限，低相关/低库存产品不硬推。",IF($J115="二次排查","今天在二次排查窗口：补广告结构、关键词/ASIN、预算和Listing埋词。",IF($J115="临近二次","大节气二次排查即将开始：提前准备词/ASIN/图片/价格/促销，不等窗口当天才补结构。",IF($J115="一次排查","今天在一次排查窗口：先筛SKU，看历史动销、库存、利润和Listing匹配。",IF($J115="未到排查","暂不处理，等一次排查窗口。",IF($J115="等待下一窗口","暂不在排查窗口；等高频或节点开始，除非有库存/广告异常。","已过：复盘、降投、清尾或沉淀明年节点。"))))))))))))</x:f>
        <x:v>暂不处理，等一次排查窗口。</x:v>
      </x:c>
      <x:c r="L115" s="42" t="n">
        <x:v>46337</x:v>
      </x:c>
      <x:c r="M115" s="42" t="n">
        <x:v>46337</x:v>
      </x:c>
      <x:c r="N115" s="42" t="n">
        <x:v>46277</x:v>
      </x:c>
      <x:c r="O115" s="42" t="n">
        <x:v>46292</x:v>
      </x:c>
      <x:c r="P115" s="42" t="n">
        <x:v>46307</x:v>
      </x:c>
      <x:c r="Q115" s="42" t="n">
        <x:v>46316</x:v>
      </x:c>
      <x:c r="R115" s="42" t="n">
        <x:v>46323</x:v>
      </x:c>
      <x:c r="S115" s="42" t="n">
        <x:v>46339</x:v>
      </x:c>
      <x:c r="T115" s="43" t="n">
        <x:f>$L115-'今日提醒'!$B$2</x:f>
        <x:v>170</x:v>
      </x:c>
      <x:c r="U115" s="74" t="n">
        <x:f>IF(OR($J115="收尾下滑",$J115="节后清尾",$J115="节点当日",$J115="节点进行中",$J115="高频跟进",$J115="临近高频",$J115="大节气提前",$J115="二次排查",$J115="临近二次",$J115="一次排查"),IF($J115="收尾下滑",1,IF($J115="节后清尾",2,IF($J115="节点当日",3,IF($J115="节点进行中",4,IF($J115="高频跟进",5,IF($J115="临近高频",6,IF($J115="大节气提前",7,IF($J115="二次排查",8,IF($J115="临近二次",9,10)))))))))*100000+ROW(),99999999+ROW())</x:f>
        <x:v>100000114</x:v>
      </x:c>
      <x:c r="V115" s="15" t="str">
        <x:f>IF(OR($J115="收尾下滑",$J115="节后清尾"),"风险/止损",IF($J115="节点当日","机会/当日冲刺",IF($J115="节点进行中","机会/进行中",IF($J115="高频跟进","机会/高频",IF($J115="大节气提前","机会/大节气提前",IF(OR($J115="临近高频",$J115="临近二次",$J115="二次排查",$J115="一次排查"),"机会/预热","非今日"))))))</x:f>
        <x:v>非今日</x:v>
      </x:c>
      <x:c r="W115" s="15" t="str">
        <x:f>IF($J115="收尾下滑","控投/清尾/算留仓",IF($J115="节后清尾","节后降投/复盘",IF($J115="节点当日","当日冲刺/控尾流",IF($J115="节点进行中","转化监控/看趋势",IF($J115="高频跟进","放量+控ACOS",IF($J115="大节气提前","提前锁结构/预算",IF($J115="临近高频","预查结构/埋词",IF($J115="临近二次","提前补结构/埋词",IF($J115="二次排查","补结构/补词",IF($J115="一次排查","筛SKU/核库存","暂无"))))))))))</x:f>
        <x:v>暂无</x:v>
      </x:c>
      <x:c r="X115" s="15" t="str">
        <x:f>IF(AND('今日提醒'!$B$2&gt;=$L115,'今日提醒'!$B$2&lt;=$M115,$L115=$M115),"节点当日：不是预热",IF(AND('今日提醒'!$B$2&gt;=$L115,'今日提醒'!$B$2&lt;=$M115,'今日提醒'!$B$2&gt;$S115),"高频已结束但销售窗口未结束：疑似尾期/下滑",IF(AND('今日提醒'!$B$2&gt;$M115,'今日提醒'!$B$2&lt;=$S115),"节点已过但仍在清尾窗口",IF($J115="大节气提前","大节气高频前30天：提前进入主推准备",IF($J115="临近二次","大节气二次排查前14天：提前准备","")))))</x:f>
      </x:c>
    </x:row>
    <x:row r="116" ht="58" hidden="0" customHeight="1">
      <x:c r="A116" s="41" t="str">
        <x:v>World Kindness Day</x:v>
      </x:c>
      <x:c r="B116" s="41" t="str">
        <x:v>世界善意日/善良日</x:v>
      </x:c>
      <x:c r="C116" s="41" t="str">
        <x:v>倡导友善与善意行动，适合kindness、encouragement、support礼品。</x:v>
      </x:c>
      <x:c r="D116" s="41" t="str">
        <x:v>2026-11-13</x:v>
      </x:c>
      <x:c r="E116" s="41" t="str">
        <x:v>固定日期</x:v>
      </x:c>
      <x:c r="F116" s="41" t="str">
        <x:v>kindness gifts、pocket hug、affirmation cards、鼓励手链</x:v>
      </x:c>
      <x:c r="G116" s="41" t="str">
        <x:v>2026-09-14 ~ 2026-09-29：先筛匹配SKU、历史销量、库存和利润空间。</x:v>
      </x:c>
      <x:c r="H116" s="41" t="str">
        <x:v>2026-10-14 ~ 2026-10-23：补关键词/ASIN、Listing埋词和广告预算。</x:v>
      </x:c>
      <x:c r="I116" s="41" t="str">
        <x:v>2026-10-30 ~ 2026-11-15：重点SKU每日看，普通SKU每2-3天看。</x:v>
      </x:c>
      <x:c r="J116" s="41" t="str">
        <x:f>IF(AND('今日提醒'!$B$2&gt;=$L116,'今日提醒'!$B$2&lt;=$M116,$L116=$M116),"节点当日",IF(AND('今日提醒'!$B$2&gt;=$L116,'今日提醒'!$B$2&lt;=$M116,'今日提醒'!$B$2&gt;$S116),"收尾下滑",IF(AND('今日提醒'!$B$2&gt;=$L116,'今日提醒'!$B$2&lt;=$M116),"节点进行中",IF(AND('今日提醒'!$B$2&gt;$M116,'今日提醒'!$B$2&lt;=$S116),"节后清尾",IF(AND('今日提醒'!$B$2&gt;=$R116,'今日提醒'!$B$2&lt;=$S116),"高频跟进",IF(AND('今日提醒'!$B$2&gt;=($R116-14),'今日提醒'!$B$2&lt;$R116,'今日提醒'!$B$2&lt;$L116),"临近高频",IF(AND(OR($A116="Chinese New Year",$A116="Super Bowl",$A116="Valentine's Day",$A116="Valentine Week",$A116="St. Patrick's Day",$A116="Easter",$A116="Graduation Season",$A116="Prom Season",$A116="Teacher Appreciation Week",$A116="Mother's Day",$A116="Memorial Day",$A116="Father's Day",$A116="Independence Day",$A116="Back-to-School Season",$A116="Labor Day",$A116="Halloween",$A116="Thanksgiving",$A116="Black Friday / Cyber Monday",$A116="Christmas",$A116="New Year's Eve / New Year Season"),'今日提醒'!$B$2&gt;=($R116-30),'今日提醒'!$B$2&lt;$R116,'今日提醒'!$B$2&lt;$L116),"大节气提前",IF(AND('今日提醒'!$B$2&gt;=$P116,'今日提醒'!$B$2&lt;=$Q116),"二次排查",IF(AND(OR($A116="Chinese New Year",$A116="Super Bowl",$A116="Valentine's Day",$A116="Valentine Week",$A116="St. Patrick's Day",$A116="Easter",$A116="Graduation Season",$A116="Prom Season",$A116="Teacher Appreciation Week",$A116="Mother's Day",$A116="Memorial Day",$A116="Father's Day",$A116="Independence Day",$A116="Back-to-School Season",$A116="Labor Day",$A116="Halloween",$A116="Thanksgiving",$A116="Black Friday / Cyber Monday",$A116="Christmas",$A116="New Year's Eve / New Year Season"),'今日提醒'!$B$2&gt;=($P116-14),'今日提醒'!$B$2&lt;$P116,'今日提醒'!$B$2&lt;$L116),"临近二次",IF(AND('今日提醒'!$B$2&gt;=$N116,'今日提醒'!$B$2&lt;=$O116),"一次排查",IF('今日提醒'!$B$2&lt;$N116,"未到排查",IF('今日提醒'!$B$2&lt;$L116,"等待下一窗口","已过"))))))))))))</x:f>
        <x:v>未到排查</x:v>
      </x:c>
      <x:c r="K116" s="41" t="str">
        <x:f>IF($J116="收尾下滑","主购买/高频窗口已过，流量可能走弱：不要盲目加预算或新建组；优先看库存压力、ACOS、广告占比、自然单，仅保留高转化词，计算清货/留仓。",IF($J116="节后清尾","节点已过但仍在清尾窗口：控低效词、降无效预算，复盘转化词；库存重则算清货，库存轻则吃完尾流。",IF($J116="节点当日","今天就是节点当日：优先看转化、库存承接、广告花费和尾流风险；可以吃最后一波有效流量，但不要再大范围新建或盲目加预算。",IF($J116="节点进行中","当前在节点/销售窗口内：这是进行中，不是预热；重点看销量、库存承接、广告花费、转化和是否已出现流量下滑。",IF($J116="高频跟进","今天在高频跟进窗口：头部SKU每日看；重点看高库存、高花费、断货风险和ACOS。",IF($J116="临近高频","高频窗口即将开始：今天先预查广告结构、关键词/ASIN、Listing埋词、库存承接和预算，避免临近节点再补。",IF($J116="大节气提前","大节气提前窗口：不要等高频当天再动；今天先锁定主推SKU、库存承接、Listing节日词、广告结构和预算上限，低相关/低库存产品不硬推。",IF($J116="二次排查","今天在二次排查窗口：补广告结构、关键词/ASIN、预算和Listing埋词。",IF($J116="临近二次","大节气二次排查即将开始：提前准备词/ASIN/图片/价格/促销，不等窗口当天才补结构。",IF($J116="一次排查","今天在一次排查窗口：先筛SKU，看历史动销、库存、利润和Listing匹配。",IF($J116="未到排查","暂不处理，等一次排查窗口。",IF($J116="等待下一窗口","暂不在排查窗口；等高频或节点开始，除非有库存/广告异常。","已过：复盘、降投、清尾或沉淀明年节点。"))))))))))))</x:f>
        <x:v>暂不处理，等一次排查窗口。</x:v>
      </x:c>
      <x:c r="L116" s="42" t="n">
        <x:v>46339</x:v>
      </x:c>
      <x:c r="M116" s="42" t="n">
        <x:v>46339</x:v>
      </x:c>
      <x:c r="N116" s="42" t="n">
        <x:v>46279</x:v>
      </x:c>
      <x:c r="O116" s="42" t="n">
        <x:v>46294</x:v>
      </x:c>
      <x:c r="P116" s="42" t="n">
        <x:v>46309</x:v>
      </x:c>
      <x:c r="Q116" s="42" t="n">
        <x:v>46318</x:v>
      </x:c>
      <x:c r="R116" s="42" t="n">
        <x:v>46325</x:v>
      </x:c>
      <x:c r="S116" s="42" t="n">
        <x:v>46341</x:v>
      </x:c>
      <x:c r="T116" s="43" t="n">
        <x:f>$L116-'今日提醒'!$B$2</x:f>
        <x:v>172</x:v>
      </x:c>
      <x:c r="U116" s="74" t="n">
        <x:f>IF(OR($J116="收尾下滑",$J116="节后清尾",$J116="节点当日",$J116="节点进行中",$J116="高频跟进",$J116="临近高频",$J116="大节气提前",$J116="二次排查",$J116="临近二次",$J116="一次排查"),IF($J116="收尾下滑",1,IF($J116="节后清尾",2,IF($J116="节点当日",3,IF($J116="节点进行中",4,IF($J116="高频跟进",5,IF($J116="临近高频",6,IF($J116="大节气提前",7,IF($J116="二次排查",8,IF($J116="临近二次",9,10)))))))))*100000+ROW(),99999999+ROW())</x:f>
        <x:v>100000115</x:v>
      </x:c>
      <x:c r="V116" s="15" t="str">
        <x:f>IF(OR($J116="收尾下滑",$J116="节后清尾"),"风险/止损",IF($J116="节点当日","机会/当日冲刺",IF($J116="节点进行中","机会/进行中",IF($J116="高频跟进","机会/高频",IF($J116="大节气提前","机会/大节气提前",IF(OR($J116="临近高频",$J116="临近二次",$J116="二次排查",$J116="一次排查"),"机会/预热","非今日"))))))</x:f>
        <x:v>非今日</x:v>
      </x:c>
      <x:c r="W116" s="15" t="str">
        <x:f>IF($J116="收尾下滑","控投/清尾/算留仓",IF($J116="节后清尾","节后降投/复盘",IF($J116="节点当日","当日冲刺/控尾流",IF($J116="节点进行中","转化监控/看趋势",IF($J116="高频跟进","放量+控ACOS",IF($J116="大节气提前","提前锁结构/预算",IF($J116="临近高频","预查结构/埋词",IF($J116="临近二次","提前补结构/埋词",IF($J116="二次排查","补结构/补词",IF($J116="一次排查","筛SKU/核库存","暂无"))))))))))</x:f>
        <x:v>暂无</x:v>
      </x:c>
      <x:c r="X116" s="15" t="str">
        <x:f>IF(AND('今日提醒'!$B$2&gt;=$L116,'今日提醒'!$B$2&lt;=$M116,$L116=$M116),"节点当日：不是预热",IF(AND('今日提醒'!$B$2&gt;=$L116,'今日提醒'!$B$2&lt;=$M116,'今日提醒'!$B$2&gt;$S116),"高频已结束但销售窗口未结束：疑似尾期/下滑",IF(AND('今日提醒'!$B$2&gt;$M116,'今日提醒'!$B$2&lt;=$S116),"节点已过但仍在清尾窗口",IF($J116="大节气提前","大节气高频前30天：提前进入主推准备",IF($J116="临近二次","大节气二次排查前14天：提前准备","")))))</x:f>
      </x:c>
    </x:row>
    <x:row r="117" ht="58" hidden="0" customHeight="1">
      <x:c r="A117" s="41" t="str">
        <x:v>World Kindness Week</x:v>
      </x:c>
      <x:c r="B117" s="41" t="str">
        <x:v>世界善意周</x:v>
      </x:c>
      <x:c r="C117" s="41" t="str">
        <x:v>围绕善意日开展的友善行动周，适合kindness gifts和positive message产品。</x:v>
      </x:c>
      <x:c r="D117" s="41" t="str">
        <x:v>2026-11-09 ~ 2026-11-15</x:v>
      </x:c>
      <x:c r="E117" s="41" t="str">
        <x:v>每年变动：围绕11月13日取窗口</x:v>
      </x:c>
      <x:c r="F117" s="41" t="str">
        <x:v>kindness gifts、pocket hug、affirmation cards、鼓励手链</x:v>
      </x:c>
      <x:c r="G117" s="41" t="str">
        <x:v>2026-08-26 ~ 2026-09-10：按职业词筛SKU，核库存、历史动销和礼品适配。</x:v>
      </x:c>
      <x:c r="H117" s="41" t="str">
        <x:v>2026-09-30 ~ 2026-10-10：建/补广告组，补关键词/ASIN，处理低效流量。</x:v>
      </x:c>
      <x:c r="I117" s="41" t="str">
        <x:v>2026-10-26 ~ 2026-11-15：高库存/高花费SKU每日看，其余2-3天看。</x:v>
      </x:c>
      <x:c r="J117" s="41" t="str">
        <x:f>IF(AND('今日提醒'!$B$2&gt;=$L117,'今日提醒'!$B$2&lt;=$M117,$L117=$M117),"节点当日",IF(AND('今日提醒'!$B$2&gt;=$L117,'今日提醒'!$B$2&lt;=$M117,'今日提醒'!$B$2&gt;$S117),"收尾下滑",IF(AND('今日提醒'!$B$2&gt;=$L117,'今日提醒'!$B$2&lt;=$M117),"节点进行中",IF(AND('今日提醒'!$B$2&gt;$M117,'今日提醒'!$B$2&lt;=$S117),"节后清尾",IF(AND('今日提醒'!$B$2&gt;=$R117,'今日提醒'!$B$2&lt;=$S117),"高频跟进",IF(AND('今日提醒'!$B$2&gt;=($R117-14),'今日提醒'!$B$2&lt;$R117,'今日提醒'!$B$2&lt;$L117),"临近高频",IF(AND(OR($A117="Chinese New Year",$A117="Super Bowl",$A117="Valentine's Day",$A117="Valentine Week",$A117="St. Patrick's Day",$A117="Easter",$A117="Graduation Season",$A117="Prom Season",$A117="Teacher Appreciation Week",$A117="Mother's Day",$A117="Memorial Day",$A117="Father's Day",$A117="Independence Day",$A117="Back-to-School Season",$A117="Labor Day",$A117="Halloween",$A117="Thanksgiving",$A117="Black Friday / Cyber Monday",$A117="Christmas",$A117="New Year's Eve / New Year Season"),'今日提醒'!$B$2&gt;=($R117-30),'今日提醒'!$B$2&lt;$R117,'今日提醒'!$B$2&lt;$L117),"大节气提前",IF(AND('今日提醒'!$B$2&gt;=$P117,'今日提醒'!$B$2&lt;=$Q117),"二次排查",IF(AND(OR($A117="Chinese New Year",$A117="Super Bowl",$A117="Valentine's Day",$A117="Valentine Week",$A117="St. Patrick's Day",$A117="Easter",$A117="Graduation Season",$A117="Prom Season",$A117="Teacher Appreciation Week",$A117="Mother's Day",$A117="Memorial Day",$A117="Father's Day",$A117="Independence Day",$A117="Back-to-School Season",$A117="Labor Day",$A117="Halloween",$A117="Thanksgiving",$A117="Black Friday / Cyber Monday",$A117="Christmas",$A117="New Year's Eve / New Year Season"),'今日提醒'!$B$2&gt;=($P117-14),'今日提醒'!$B$2&lt;$P117,'今日提醒'!$B$2&lt;$L117),"临近二次",IF(AND('今日提醒'!$B$2&gt;=$N117,'今日提醒'!$B$2&lt;=$O117),"一次排查",IF('今日提醒'!$B$2&lt;$N117,"未到排查",IF('今日提醒'!$B$2&lt;$L117,"等待下一窗口","已过"))))))))))))</x:f>
        <x:v>未到排查</x:v>
      </x:c>
      <x:c r="K117" s="41" t="str">
        <x:f>IF($J117="收尾下滑","主购买/高频窗口已过，流量可能走弱：不要盲目加预算或新建组；优先看库存压力、ACOS、广告占比、自然单，仅保留高转化词，计算清货/留仓。",IF($J117="节后清尾","节点已过但仍在清尾窗口：控低效词、降无效预算，复盘转化词；库存重则算清货，库存轻则吃完尾流。",IF($J117="节点当日","今天就是节点当日：优先看转化、库存承接、广告花费和尾流风险；可以吃最后一波有效流量，但不要再大范围新建或盲目加预算。",IF($J117="节点进行中","当前在节点/销售窗口内：这是进行中，不是预热；重点看销量、库存承接、广告花费、转化和是否已出现流量下滑。",IF($J117="高频跟进","今天在高频跟进窗口：头部SKU每日看；重点看高库存、高花费、断货风险和ACOS。",IF($J117="临近高频","高频窗口即将开始：今天先预查广告结构、关键词/ASIN、Listing埋词、库存承接和预算，避免临近节点再补。",IF($J117="大节气提前","大节气提前窗口：不要等高频当天再动；今天先锁定主推SKU、库存承接、Listing节日词、广告结构和预算上限，低相关/低库存产品不硬推。",IF($J117="二次排查","今天在二次排查窗口：补广告结构、关键词/ASIN、预算和Listing埋词。",IF($J117="临近二次","大节气二次排查即将开始：提前准备词/ASIN/图片/价格/促销，不等窗口当天才补结构。",IF($J117="一次排查","今天在一次排查窗口：先筛SKU，看历史动销、库存、利润和Listing匹配。",IF($J117="未到排查","暂不处理，等一次排查窗口。",IF($J117="等待下一窗口","暂不在排查窗口；等高频或节点开始，除非有库存/广告异常。","已过：复盘、降投、清尾或沉淀明年节点。"))))))))))))</x:f>
        <x:v>暂不处理，等一次排查窗口。</x:v>
      </x:c>
      <x:c r="L117" s="42" t="n">
        <x:v>46335</x:v>
      </x:c>
      <x:c r="M117" s="42" t="n">
        <x:v>46341</x:v>
      </x:c>
      <x:c r="N117" s="42" t="n">
        <x:v>46260</x:v>
      </x:c>
      <x:c r="O117" s="42" t="n">
        <x:v>46275</x:v>
      </x:c>
      <x:c r="P117" s="42" t="n">
        <x:v>46295</x:v>
      </x:c>
      <x:c r="Q117" s="42" t="n">
        <x:v>46305</x:v>
      </x:c>
      <x:c r="R117" s="42" t="n">
        <x:v>46321</x:v>
      </x:c>
      <x:c r="S117" s="42" t="n">
        <x:v>46341</x:v>
      </x:c>
      <x:c r="T117" s="43" t="n">
        <x:f>$L117-'今日提醒'!$B$2</x:f>
        <x:v>168</x:v>
      </x:c>
      <x:c r="U117" s="74" t="n">
        <x:f>IF(OR($J117="收尾下滑",$J117="节后清尾",$J117="节点当日",$J117="节点进行中",$J117="高频跟进",$J117="临近高频",$J117="大节气提前",$J117="二次排查",$J117="临近二次",$J117="一次排查"),IF($J117="收尾下滑",1,IF($J117="节后清尾",2,IF($J117="节点当日",3,IF($J117="节点进行中",4,IF($J117="高频跟进",5,IF($J117="临近高频",6,IF($J117="大节气提前",7,IF($J117="二次排查",8,IF($J117="临近二次",9,10)))))))))*100000+ROW(),99999999+ROW())</x:f>
        <x:v>100000116</x:v>
      </x:c>
      <x:c r="V117" s="15" t="str">
        <x:f>IF(OR($J117="收尾下滑",$J117="节后清尾"),"风险/止损",IF($J117="节点当日","机会/当日冲刺",IF($J117="节点进行中","机会/进行中",IF($J117="高频跟进","机会/高频",IF($J117="大节气提前","机会/大节气提前",IF(OR($J117="临近高频",$J117="临近二次",$J117="二次排查",$J117="一次排查"),"机会/预热","非今日"))))))</x:f>
        <x:v>非今日</x:v>
      </x:c>
      <x:c r="W117" s="15" t="str">
        <x:f>IF($J117="收尾下滑","控投/清尾/算留仓",IF($J117="节后清尾","节后降投/复盘",IF($J117="节点当日","当日冲刺/控尾流",IF($J117="节点进行中","转化监控/看趋势",IF($J117="高频跟进","放量+控ACOS",IF($J117="大节气提前","提前锁结构/预算",IF($J117="临近高频","预查结构/埋词",IF($J117="临近二次","提前补结构/埋词",IF($J117="二次排查","补结构/补词",IF($J117="一次排查","筛SKU/核库存","暂无"))))))))))</x:f>
        <x:v>暂无</x:v>
      </x:c>
      <x:c r="X117" s="15" t="str">
        <x:f>IF(AND('今日提醒'!$B$2&gt;=$L117,'今日提醒'!$B$2&lt;=$M117,$L117=$M117),"节点当日：不是预热",IF(AND('今日提醒'!$B$2&gt;=$L117,'今日提醒'!$B$2&lt;=$M117,'今日提醒'!$B$2&gt;$S117),"高频已结束但销售窗口未结束：疑似尾期/下滑",IF(AND('今日提醒'!$B$2&gt;$M117,'今日提醒'!$B$2&lt;=$S117),"节点已过但仍在清尾窗口",IF($J117="大节气提前","大节气高频前30天：提前进入主推准备",IF($J117="临近二次","大节气二次排查前14天：提前准备","")))))</x:f>
      </x:c>
    </x:row>
    <x:row r="118" ht="58" hidden="0" customHeight="1">
      <x:c r="A118" s="41" t="str">
        <x:v>National Bible Week</x:v>
      </x:c>
      <x:c r="B118" s="41" t="str">
        <x:v>全国圣经周</x:v>
      </x:c>
      <x:c r="C118" s="41" t="str">
        <x:v>基督教阅读与圣经主题周，适合Bible verse、Christian gifts。</x:v>
      </x:c>
      <x:c r="D118" s="41" t="str">
        <x:v>2026-11-15 ~ 2026-11-21</x:v>
      </x:c>
      <x:c r="E118" s="41" t="str">
        <x:v>每年变动</x:v>
      </x:c>
      <x:c r="F118" s="41" t="str">
        <x:v>Christian gifts、Bible verse书签/卡片、教会活动礼、pocket hug</x:v>
      </x:c>
      <x:c r="G118" s="41" t="str">
        <x:v>2026-09-01 ~ 2026-09-16：按职业词筛SKU，核库存、历史动销和礼品适配。</x:v>
      </x:c>
      <x:c r="H118" s="41" t="str">
        <x:v>2026-10-06 ~ 2026-10-16：建/补广告组，补关键词/ASIN，处理低效流量。</x:v>
      </x:c>
      <x:c r="I118" s="41" t="str">
        <x:v>2026-11-01 ~ 2026-11-21：高库存/高花费SKU每日看，其余2-3天看。</x:v>
      </x:c>
      <x:c r="J118" s="41" t="str">
        <x:f>IF(AND('今日提醒'!$B$2&gt;=$L118,'今日提醒'!$B$2&lt;=$M118,$L118=$M118),"节点当日",IF(AND('今日提醒'!$B$2&gt;=$L118,'今日提醒'!$B$2&lt;=$M118,'今日提醒'!$B$2&gt;$S118),"收尾下滑",IF(AND('今日提醒'!$B$2&gt;=$L118,'今日提醒'!$B$2&lt;=$M118),"节点进行中",IF(AND('今日提醒'!$B$2&gt;$M118,'今日提醒'!$B$2&lt;=$S118),"节后清尾",IF(AND('今日提醒'!$B$2&gt;=$R118,'今日提醒'!$B$2&lt;=$S118),"高频跟进",IF(AND('今日提醒'!$B$2&gt;=($R118-14),'今日提醒'!$B$2&lt;$R118,'今日提醒'!$B$2&lt;$L118),"临近高频",IF(AND(OR($A118="Chinese New Year",$A118="Super Bowl",$A118="Valentine's Day",$A118="Valentine Week",$A118="St. Patrick's Day",$A118="Easter",$A118="Graduation Season",$A118="Prom Season",$A118="Teacher Appreciation Week",$A118="Mother's Day",$A118="Memorial Day",$A118="Father's Day",$A118="Independence Day",$A118="Back-to-School Season",$A118="Labor Day",$A118="Halloween",$A118="Thanksgiving",$A118="Black Friday / Cyber Monday",$A118="Christmas",$A118="New Year's Eve / New Year Season"),'今日提醒'!$B$2&gt;=($R118-30),'今日提醒'!$B$2&lt;$R118,'今日提醒'!$B$2&lt;$L118),"大节气提前",IF(AND('今日提醒'!$B$2&gt;=$P118,'今日提醒'!$B$2&lt;=$Q118),"二次排查",IF(AND(OR($A118="Chinese New Year",$A118="Super Bowl",$A118="Valentine's Day",$A118="Valentine Week",$A118="St. Patrick's Day",$A118="Easter",$A118="Graduation Season",$A118="Prom Season",$A118="Teacher Appreciation Week",$A118="Mother's Day",$A118="Memorial Day",$A118="Father's Day",$A118="Independence Day",$A118="Back-to-School Season",$A118="Labor Day",$A118="Halloween",$A118="Thanksgiving",$A118="Black Friday / Cyber Monday",$A118="Christmas",$A118="New Year's Eve / New Year Season"),'今日提醒'!$B$2&gt;=($P118-14),'今日提醒'!$B$2&lt;$P118,'今日提醒'!$B$2&lt;$L118),"临近二次",IF(AND('今日提醒'!$B$2&gt;=$N118,'今日提醒'!$B$2&lt;=$O118),"一次排查",IF('今日提醒'!$B$2&lt;$N118,"未到排查",IF('今日提醒'!$B$2&lt;$L118,"等待下一窗口","已过"))))))))))))</x:f>
        <x:v>未到排查</x:v>
      </x:c>
      <x:c r="K118" s="41" t="str">
        <x:f>IF($J118="收尾下滑","主购买/高频窗口已过，流量可能走弱：不要盲目加预算或新建组；优先看库存压力、ACOS、广告占比、自然单，仅保留高转化词，计算清货/留仓。",IF($J118="节后清尾","节点已过但仍在清尾窗口：控低效词、降无效预算，复盘转化词；库存重则算清货，库存轻则吃完尾流。",IF($J118="节点当日","今天就是节点当日：优先看转化、库存承接、广告花费和尾流风险；可以吃最后一波有效流量，但不要再大范围新建或盲目加预算。",IF($J118="节点进行中","当前在节点/销售窗口内：这是进行中，不是预热；重点看销量、库存承接、广告花费、转化和是否已出现流量下滑。",IF($J118="高频跟进","今天在高频跟进窗口：头部SKU每日看；重点看高库存、高花费、断货风险和ACOS。",IF($J118="临近高频","高频窗口即将开始：今天先预查广告结构、关键词/ASIN、Listing埋词、库存承接和预算，避免临近节点再补。",IF($J118="大节气提前","大节气提前窗口：不要等高频当天再动；今天先锁定主推SKU、库存承接、Listing节日词、广告结构和预算上限，低相关/低库存产品不硬推。",IF($J118="二次排查","今天在二次排查窗口：补广告结构、关键词/ASIN、预算和Listing埋词。",IF($J118="临近二次","大节气二次排查即将开始：提前准备词/ASIN/图片/价格/促销，不等窗口当天才补结构。",IF($J118="一次排查","今天在一次排查窗口：先筛SKU，看历史动销、库存、利润和Listing匹配。",IF($J118="未到排查","暂不处理，等一次排查窗口。",IF($J118="等待下一窗口","暂不在排查窗口；等高频或节点开始，除非有库存/广告异常。","已过：复盘、降投、清尾或沉淀明年节点。"))))))))))))</x:f>
        <x:v>暂不处理，等一次排查窗口。</x:v>
      </x:c>
      <x:c r="L118" s="42" t="n">
        <x:v>46341</x:v>
      </x:c>
      <x:c r="M118" s="42" t="n">
        <x:v>46347</x:v>
      </x:c>
      <x:c r="N118" s="42" t="n">
        <x:v>46266</x:v>
      </x:c>
      <x:c r="O118" s="42" t="n">
        <x:v>46281</x:v>
      </x:c>
      <x:c r="P118" s="42" t="n">
        <x:v>46301</x:v>
      </x:c>
      <x:c r="Q118" s="42" t="n">
        <x:v>46311</x:v>
      </x:c>
      <x:c r="R118" s="42" t="n">
        <x:v>46327</x:v>
      </x:c>
      <x:c r="S118" s="42" t="n">
        <x:v>46347</x:v>
      </x:c>
      <x:c r="T118" s="43" t="n">
        <x:f>$L118-'今日提醒'!$B$2</x:f>
        <x:v>174</x:v>
      </x:c>
      <x:c r="U118" s="74" t="n">
        <x:f>IF(OR($J118="收尾下滑",$J118="节后清尾",$J118="节点当日",$J118="节点进行中",$J118="高频跟进",$J118="临近高频",$J118="大节气提前",$J118="二次排查",$J118="临近二次",$J118="一次排查"),IF($J118="收尾下滑",1,IF($J118="节后清尾",2,IF($J118="节点当日",3,IF($J118="节点进行中",4,IF($J118="高频跟进",5,IF($J118="临近高频",6,IF($J118="大节气提前",7,IF($J118="二次排查",8,IF($J118="临近二次",9,10)))))))))*100000+ROW(),99999999+ROW())</x:f>
        <x:v>100000117</x:v>
      </x:c>
      <x:c r="V118" s="15" t="str">
        <x:f>IF(OR($J118="收尾下滑",$J118="节后清尾"),"风险/止损",IF($J118="节点当日","机会/当日冲刺",IF($J118="节点进行中","机会/进行中",IF($J118="高频跟进","机会/高频",IF($J118="大节气提前","机会/大节气提前",IF(OR($J118="临近高频",$J118="临近二次",$J118="二次排查",$J118="一次排查"),"机会/预热","非今日"))))))</x:f>
        <x:v>非今日</x:v>
      </x:c>
      <x:c r="W118" s="15" t="str">
        <x:f>IF($J118="收尾下滑","控投/清尾/算留仓",IF($J118="节后清尾","节后降投/复盘",IF($J118="节点当日","当日冲刺/控尾流",IF($J118="节点进行中","转化监控/看趋势",IF($J118="高频跟进","放量+控ACOS",IF($J118="大节气提前","提前锁结构/预算",IF($J118="临近高频","预查结构/埋词",IF($J118="临近二次","提前补结构/埋词",IF($J118="二次排查","补结构/补词",IF($J118="一次排查","筛SKU/核库存","暂无"))))))))))</x:f>
        <x:v>暂无</x:v>
      </x:c>
      <x:c r="X118" s="15" t="str">
        <x:f>IF(AND('今日提醒'!$B$2&gt;=$L118,'今日提醒'!$B$2&lt;=$M118,$L118=$M118),"节点当日：不是预热",IF(AND('今日提醒'!$B$2&gt;=$L118,'今日提醒'!$B$2&lt;=$M118,'今日提醒'!$B$2&gt;$S118),"高频已结束但销售窗口未结束：疑似尾期/下滑",IF(AND('今日提醒'!$B$2&gt;$M118,'今日提醒'!$B$2&lt;=$S118),"节点已过但仍在清尾窗口",IF($J118="大节气提前","大节气高频前30天：提前进入主推准备",IF($J118="临近二次","大节气二次排查前14天：提前准备","")))))</x:f>
      </x:c>
    </x:row>
    <x:row r="119" ht="58" hidden="0" customHeight="1">
      <x:c r="A119" s="41" t="str">
        <x:v>International Education Week</x:v>
      </x:c>
      <x:c r="B119" s="41" t="str">
        <x:v>国际教育周</x:v>
      </x:c>
      <x:c r="C119" s="41" t="str">
        <x:v>美国国务院/教育部倡导的国际交流与全球教育节点，适合校园/教育相关主题。</x:v>
      </x:c>
      <x:c r="D119" s="41" t="str">
        <x:v>2026-11-16 ~ 2026-11-20</x:v>
      </x:c>
      <x:c r="E119" s="41" t="str">
        <x:v>每年变动</x:v>
      </x:c>
      <x:c r="F119" s="41" t="str">
        <x:v>教育主题礼品、teacher/student gifts、国际交流小礼品</x:v>
      </x:c>
      <x:c r="G119" s="41" t="str">
        <x:v>2026-09-02 ~ 2026-09-17：按职业词筛SKU，核库存、历史动销和礼品适配。</x:v>
      </x:c>
      <x:c r="H119" s="41" t="str">
        <x:v>2026-10-07 ~ 2026-10-17：建/补广告组，补关键词/ASIN，处理低效流量。</x:v>
      </x:c>
      <x:c r="I119" s="41" t="str">
        <x:v>2026-11-02 ~ 2026-11-20：高库存/高花费SKU每日看，其余2-3天看。</x:v>
      </x:c>
      <x:c r="J119" s="41" t="str">
        <x:f>IF(AND('今日提醒'!$B$2&gt;=$L119,'今日提醒'!$B$2&lt;=$M119,$L119=$M119),"节点当日",IF(AND('今日提醒'!$B$2&gt;=$L119,'今日提醒'!$B$2&lt;=$M119,'今日提醒'!$B$2&gt;$S119),"收尾下滑",IF(AND('今日提醒'!$B$2&gt;=$L119,'今日提醒'!$B$2&lt;=$M119),"节点进行中",IF(AND('今日提醒'!$B$2&gt;$M119,'今日提醒'!$B$2&lt;=$S119),"节后清尾",IF(AND('今日提醒'!$B$2&gt;=$R119,'今日提醒'!$B$2&lt;=$S119),"高频跟进",IF(AND('今日提醒'!$B$2&gt;=($R119-14),'今日提醒'!$B$2&lt;$R119,'今日提醒'!$B$2&lt;$L119),"临近高频",IF(AND(OR($A119="Chinese New Year",$A119="Super Bowl",$A119="Valentine's Day",$A119="Valentine Week",$A119="St. Patrick's Day",$A119="Easter",$A119="Graduation Season",$A119="Prom Season",$A119="Teacher Appreciation Week",$A119="Mother's Day",$A119="Memorial Day",$A119="Father's Day",$A119="Independence Day",$A119="Back-to-School Season",$A119="Labor Day",$A119="Halloween",$A119="Thanksgiving",$A119="Black Friday / Cyber Monday",$A119="Christmas",$A119="New Year's Eve / New Year Season"),'今日提醒'!$B$2&gt;=($R119-30),'今日提醒'!$B$2&lt;$R119,'今日提醒'!$B$2&lt;$L119),"大节气提前",IF(AND('今日提醒'!$B$2&gt;=$P119,'今日提醒'!$B$2&lt;=$Q119),"二次排查",IF(AND(OR($A119="Chinese New Year",$A119="Super Bowl",$A119="Valentine's Day",$A119="Valentine Week",$A119="St. Patrick's Day",$A119="Easter",$A119="Graduation Season",$A119="Prom Season",$A119="Teacher Appreciation Week",$A119="Mother's Day",$A119="Memorial Day",$A119="Father's Day",$A119="Independence Day",$A119="Back-to-School Season",$A119="Labor Day",$A119="Halloween",$A119="Thanksgiving",$A119="Black Friday / Cyber Monday",$A119="Christmas",$A119="New Year's Eve / New Year Season"),'今日提醒'!$B$2&gt;=($P119-14),'今日提醒'!$B$2&lt;$P119,'今日提醒'!$B$2&lt;$L119),"临近二次",IF(AND('今日提醒'!$B$2&gt;=$N119,'今日提醒'!$B$2&lt;=$O119),"一次排查",IF('今日提醒'!$B$2&lt;$N119,"未到排查",IF('今日提醒'!$B$2&lt;$L119,"等待下一窗口","已过"))))))))))))</x:f>
        <x:v>未到排查</x:v>
      </x:c>
      <x:c r="K119" s="41" t="str">
        <x:f>IF($J119="收尾下滑","主购买/高频窗口已过，流量可能走弱：不要盲目加预算或新建组；优先看库存压力、ACOS、广告占比、自然单，仅保留高转化词，计算清货/留仓。",IF($J119="节后清尾","节点已过但仍在清尾窗口：控低效词、降无效预算，复盘转化词；库存重则算清货，库存轻则吃完尾流。",IF($J119="节点当日","今天就是节点当日：优先看转化、库存承接、广告花费和尾流风险；可以吃最后一波有效流量，但不要再大范围新建或盲目加预算。",IF($J119="节点进行中","当前在节点/销售窗口内：这是进行中，不是预热；重点看销量、库存承接、广告花费、转化和是否已出现流量下滑。",IF($J119="高频跟进","今天在高频跟进窗口：头部SKU每日看；重点看高库存、高花费、断货风险和ACOS。",IF($J119="临近高频","高频窗口即将开始：今天先预查广告结构、关键词/ASIN、Listing埋词、库存承接和预算，避免临近节点再补。",IF($J119="大节气提前","大节气提前窗口：不要等高频当天再动；今天先锁定主推SKU、库存承接、Listing节日词、广告结构和预算上限，低相关/低库存产品不硬推。",IF($J119="二次排查","今天在二次排查窗口：补广告结构、关键词/ASIN、预算和Listing埋词。",IF($J119="临近二次","大节气二次排查即将开始：提前准备词/ASIN/图片/价格/促销，不等窗口当天才补结构。",IF($J119="一次排查","今天在一次排查窗口：先筛SKU，看历史动销、库存、利润和Listing匹配。",IF($J119="未到排查","暂不处理，等一次排查窗口。",IF($J119="等待下一窗口","暂不在排查窗口；等高频或节点开始，除非有库存/广告异常。","已过：复盘、降投、清尾或沉淀明年节点。"))))))))))))</x:f>
        <x:v>暂不处理，等一次排查窗口。</x:v>
      </x:c>
      <x:c r="L119" s="42" t="n">
        <x:v>46342</x:v>
      </x:c>
      <x:c r="M119" s="42" t="n">
        <x:v>46346</x:v>
      </x:c>
      <x:c r="N119" s="42" t="n">
        <x:v>46267</x:v>
      </x:c>
      <x:c r="O119" s="42" t="n">
        <x:v>46282</x:v>
      </x:c>
      <x:c r="P119" s="42" t="n">
        <x:v>46302</x:v>
      </x:c>
      <x:c r="Q119" s="42" t="n">
        <x:v>46312</x:v>
      </x:c>
      <x:c r="R119" s="42" t="n">
        <x:v>46328</x:v>
      </x:c>
      <x:c r="S119" s="42" t="n">
        <x:v>46346</x:v>
      </x:c>
      <x:c r="T119" s="43" t="n">
        <x:f>$L119-'今日提醒'!$B$2</x:f>
        <x:v>175</x:v>
      </x:c>
      <x:c r="U119" s="74" t="n">
        <x:f>IF(OR($J119="收尾下滑",$J119="节后清尾",$J119="节点当日",$J119="节点进行中",$J119="高频跟进",$J119="临近高频",$J119="大节气提前",$J119="二次排查",$J119="临近二次",$J119="一次排查"),IF($J119="收尾下滑",1,IF($J119="节后清尾",2,IF($J119="节点当日",3,IF($J119="节点进行中",4,IF($J119="高频跟进",5,IF($J119="临近高频",6,IF($J119="大节气提前",7,IF($J119="二次排查",8,IF($J119="临近二次",9,10)))))))))*100000+ROW(),99999999+ROW())</x:f>
        <x:v>100000118</x:v>
      </x:c>
      <x:c r="V119" s="15" t="str">
        <x:f>IF(OR($J119="收尾下滑",$J119="节后清尾"),"风险/止损",IF($J119="节点当日","机会/当日冲刺",IF($J119="节点进行中","机会/进行中",IF($J119="高频跟进","机会/高频",IF($J119="大节气提前","机会/大节气提前",IF(OR($J119="临近高频",$J119="临近二次",$J119="二次排查",$J119="一次排查"),"机会/预热","非今日"))))))</x:f>
        <x:v>非今日</x:v>
      </x:c>
      <x:c r="W119" s="15" t="str">
        <x:f>IF($J119="收尾下滑","控投/清尾/算留仓",IF($J119="节后清尾","节后降投/复盘",IF($J119="节点当日","当日冲刺/控尾流",IF($J119="节点进行中","转化监控/看趋势",IF($J119="高频跟进","放量+控ACOS",IF($J119="大节气提前","提前锁结构/预算",IF($J119="临近高频","预查结构/埋词",IF($J119="临近二次","提前补结构/埋词",IF($J119="二次排查","补结构/补词",IF($J119="一次排查","筛SKU/核库存","暂无"))))))))))</x:f>
        <x:v>暂无</x:v>
      </x:c>
      <x:c r="X119" s="15" t="str">
        <x:f>IF(AND('今日提醒'!$B$2&gt;=$L119,'今日提醒'!$B$2&lt;=$M119,$L119=$M119),"节点当日：不是预热",IF(AND('今日提醒'!$B$2&gt;=$L119,'今日提醒'!$B$2&lt;=$M119,'今日提醒'!$B$2&gt;$S119),"高频已结束但销售窗口未结束：疑似尾期/下滑",IF(AND('今日提醒'!$B$2&gt;$M119,'今日提醒'!$B$2&lt;=$S119),"节点已过但仍在清尾窗口",IF($J119="大节气提前","大节气高频前30天：提前进入主推准备",IF($J119="临近二次","大节气二次排查前14天：提前准备","")))))</x:f>
      </x:c>
    </x:row>
    <x:row r="120" ht="58" hidden="0" customHeight="1">
      <x:c r="A120" s="41" t="str">
        <x:v>Operation Christmas Child</x:v>
      </x:c>
      <x:c r="B120" s="41" t="str">
        <x:v>圣诞鞋盒公益活动</x:v>
      </x:c>
      <x:c r="C120" s="41" t="str">
        <x:v>教会/公益鞋盒礼物收集活动，适合小礼品、宗教祝福、儿童礼物组合。</x:v>
      </x:c>
      <x:c r="D120" s="41" t="str">
        <x:v>2026-10-01 ~ 2026-11-23</x:v>
      </x:c>
      <x:c r="E120" s="41" t="str">
        <x:v>每年变动：按准备期+收集周取销售窗口</x:v>
      </x:c>
      <x:c r="F120" s="41" t="str">
        <x:v>鞋盒小礼品、Christian小礼物、祝福卡、轻小件组合</x:v>
      </x:c>
      <x:c r="G120" s="41" t="str">
        <x:v>2026-07-03 ~ 2026-07-17：看历史动销起点、库存承接、Listing是否匹配。</x:v>
      </x:c>
      <x:c r="H120" s="41" t="str">
        <x:v>2026-08-17 ~ 2026-08-31：完成关键词/ASIN/主图标题检查，低预算轻测。</x:v>
      </x:c>
      <x:c r="I120" s="41" t="str">
        <x:v>2026-09-17 ~ 2026-10-27：头部SKU每日看，普通SKU每周2次。</x:v>
      </x:c>
      <x:c r="J120" s="41" t="str">
        <x:f>IF(AND('今日提醒'!$B$2&gt;=$L120,'今日提醒'!$B$2&lt;=$M120,$L120=$M120),"节点当日",IF(AND('今日提醒'!$B$2&gt;=$L120,'今日提醒'!$B$2&lt;=$M120,'今日提醒'!$B$2&gt;$S120),"收尾下滑",IF(AND('今日提醒'!$B$2&gt;=$L120,'今日提醒'!$B$2&lt;=$M120),"节点进行中",IF(AND('今日提醒'!$B$2&gt;$M120,'今日提醒'!$B$2&lt;=$S120),"节后清尾",IF(AND('今日提醒'!$B$2&gt;=$R120,'今日提醒'!$B$2&lt;=$S120),"高频跟进",IF(AND('今日提醒'!$B$2&gt;=($R120-14),'今日提醒'!$B$2&lt;$R120,'今日提醒'!$B$2&lt;$L120),"临近高频",IF(AND(OR($A120="Chinese New Year",$A120="Super Bowl",$A120="Valentine's Day",$A120="Valentine Week",$A120="St. Patrick's Day",$A120="Easter",$A120="Graduation Season",$A120="Prom Season",$A120="Teacher Appreciation Week",$A120="Mother's Day",$A120="Memorial Day",$A120="Father's Day",$A120="Independence Day",$A120="Back-to-School Season",$A120="Labor Day",$A120="Halloween",$A120="Thanksgiving",$A120="Black Friday / Cyber Monday",$A120="Christmas",$A120="New Year's Eve / New Year Season"),'今日提醒'!$B$2&gt;=($R120-30),'今日提醒'!$B$2&lt;$R120,'今日提醒'!$B$2&lt;$L120),"大节气提前",IF(AND('今日提醒'!$B$2&gt;=$P120,'今日提醒'!$B$2&lt;=$Q120),"二次排查",IF(AND(OR($A120="Chinese New Year",$A120="Super Bowl",$A120="Valentine's Day",$A120="Valentine Week",$A120="St. Patrick's Day",$A120="Easter",$A120="Graduation Season",$A120="Prom Season",$A120="Teacher Appreciation Week",$A120="Mother's Day",$A120="Memorial Day",$A120="Father's Day",$A120="Independence Day",$A120="Back-to-School Season",$A120="Labor Day",$A120="Halloween",$A120="Thanksgiving",$A120="Black Friday / Cyber Monday",$A120="Christmas",$A120="New Year's Eve / New Year Season"),'今日提醒'!$B$2&gt;=($P120-14),'今日提醒'!$B$2&lt;$P120,'今日提醒'!$B$2&lt;$L120),"临近二次",IF(AND('今日提醒'!$B$2&gt;=$N120,'今日提醒'!$B$2&lt;=$O120),"一次排查",IF('今日提醒'!$B$2&lt;$N120,"未到排查",IF('今日提醒'!$B$2&lt;$L120,"等待下一窗口","已过"))))))))))))</x:f>
        <x:v>未到排查</x:v>
      </x:c>
      <x:c r="K120" s="41" t="str">
        <x:f>IF($J120="收尾下滑","主购买/高频窗口已过，流量可能走弱：不要盲目加预算或新建组；优先看库存压力、ACOS、广告占比、自然单，仅保留高转化词，计算清货/留仓。",IF($J120="节后清尾","节点已过但仍在清尾窗口：控低效词、降无效预算，复盘转化词；库存重则算清货，库存轻则吃完尾流。",IF($J120="节点当日","今天就是节点当日：优先看转化、库存承接、广告花费和尾流风险；可以吃最后一波有效流量，但不要再大范围新建或盲目加预算。",IF($J120="节点进行中","当前在节点/销售窗口内：这是进行中，不是预热；重点看销量、库存承接、广告花费、转化和是否已出现流量下滑。",IF($J120="高频跟进","今天在高频跟进窗口：头部SKU每日看；重点看高库存、高花费、断货风险和ACOS。",IF($J120="临近高频","高频窗口即将开始：今天先预查广告结构、关键词/ASIN、Listing埋词、库存承接和预算，避免临近节点再补。",IF($J120="大节气提前","大节气提前窗口：不要等高频当天再动；今天先锁定主推SKU、库存承接、Listing节日词、广告结构和预算上限，低相关/低库存产品不硬推。",IF($J120="二次排查","今天在二次排查窗口：补广告结构、关键词/ASIN、预算和Listing埋词。",IF($J120="临近二次","大节气二次排查即将开始：提前准备词/ASIN/图片/价格/促销，不等窗口当天才补结构。",IF($J120="一次排查","今天在一次排查窗口：先筛SKU，看历史动销、库存、利润和Listing匹配。",IF($J120="未到排查","暂不处理，等一次排查窗口。",IF($J120="等待下一窗口","暂不在排查窗口；等高频或节点开始，除非有库存/广告异常。","已过：复盘、降投、清尾或沉淀明年节点。"))))))))))))</x:f>
        <x:v>暂不处理，等一次排查窗口。</x:v>
      </x:c>
      <x:c r="L120" s="42" t="n">
        <x:v>46296</x:v>
      </x:c>
      <x:c r="M120" s="42" t="n">
        <x:v>46349</x:v>
      </x:c>
      <x:c r="N120" s="42" t="n">
        <x:v>46206</x:v>
      </x:c>
      <x:c r="O120" s="42" t="n">
        <x:v>46220</x:v>
      </x:c>
      <x:c r="P120" s="42" t="n">
        <x:v>46251</x:v>
      </x:c>
      <x:c r="Q120" s="42" t="n">
        <x:v>46265</x:v>
      </x:c>
      <x:c r="R120" s="42" t="n">
        <x:v>46282</x:v>
      </x:c>
      <x:c r="S120" s="42" t="n">
        <x:v>46322</x:v>
      </x:c>
      <x:c r="T120" s="43" t="n">
        <x:f>$L120-'今日提醒'!$B$2</x:f>
        <x:v>129</x:v>
      </x:c>
      <x:c r="U120" s="74" t="n">
        <x:f>IF(OR($J120="收尾下滑",$J120="节后清尾",$J120="节点当日",$J120="节点进行中",$J120="高频跟进",$J120="临近高频",$J120="大节气提前",$J120="二次排查",$J120="临近二次",$J120="一次排查"),IF($J120="收尾下滑",1,IF($J120="节后清尾",2,IF($J120="节点当日",3,IF($J120="节点进行中",4,IF($J120="高频跟进",5,IF($J120="临近高频",6,IF($J120="大节气提前",7,IF($J120="二次排查",8,IF($J120="临近二次",9,10)))))))))*100000+ROW(),99999999+ROW())</x:f>
        <x:v>100000119</x:v>
      </x:c>
      <x:c r="V120" s="15" t="str">
        <x:f>IF(OR($J120="收尾下滑",$J120="节后清尾"),"风险/止损",IF($J120="节点当日","机会/当日冲刺",IF($J120="节点进行中","机会/进行中",IF($J120="高频跟进","机会/高频",IF($J120="大节气提前","机会/大节气提前",IF(OR($J120="临近高频",$J120="临近二次",$J120="二次排查",$J120="一次排查"),"机会/预热","非今日"))))))</x:f>
        <x:v>非今日</x:v>
      </x:c>
      <x:c r="W120" s="15" t="str">
        <x:f>IF($J120="收尾下滑","控投/清尾/算留仓",IF($J120="节后清尾","节后降投/复盘",IF($J120="节点当日","当日冲刺/控尾流",IF($J120="节点进行中","转化监控/看趋势",IF($J120="高频跟进","放量+控ACOS",IF($J120="大节气提前","提前锁结构/预算",IF($J120="临近高频","预查结构/埋词",IF($J120="临近二次","提前补结构/埋词",IF($J120="二次排查","补结构/补词",IF($J120="一次排查","筛SKU/核库存","暂无"))))))))))</x:f>
        <x:v>暂无</x:v>
      </x:c>
      <x:c r="X120" s="15" t="str">
        <x:f>IF(AND('今日提醒'!$B$2&gt;=$L120,'今日提醒'!$B$2&lt;=$M120,$L120=$M120),"节点当日：不是预热",IF(AND('今日提醒'!$B$2&gt;=$L120,'今日提醒'!$B$2&lt;=$M120,'今日提醒'!$B$2&gt;$S120),"高频已结束但销售窗口未结束：疑似尾期/下滑",IF(AND('今日提醒'!$B$2&gt;$M120,'今日提醒'!$B$2&lt;=$S120),"节点已过但仍在清尾窗口",IF($J120="大节气提前","大节气高频前30天：提前进入主推准备",IF($J120="临近二次","大节气二次排查前14天：提前准备","")))))</x:f>
      </x:c>
    </x:row>
    <x:row r="121" ht="58" hidden="0" customHeight="1">
      <x:c r="A121" s="41" t="str">
        <x:v>Nursing Home Holiday Gifts Season</x:v>
      </x:c>
      <x:c r="B121" s="41" t="str">
        <x:v>养老院节日礼品季</x:v>
      </x:c>
      <x:c r="C121" s="41" t="str">
        <x:v>面向nursing home residents的圣诞/感恩节关怀礼品窗口。</x:v>
      </x:c>
      <x:c r="D121" s="41" t="str">
        <x:v>2026-11-01 ~ 2026-12-31</x:v>
      </x:c>
      <x:c r="E121" s="41" t="str">
        <x:v>区间变动：按机构假日礼品季取常用窗口</x:v>
      </x:c>
      <x:c r="F121" s="41" t="str">
        <x:v>nursing home resident gifts、pocket hug、祝福卡、节日关怀礼包</x:v>
      </x:c>
      <x:c r="G121" s="41" t="str">
        <x:v>2026-08-03 ~ 2026-08-17：看历史动销起点、库存承接、Listing是否匹配。</x:v>
      </x:c>
      <x:c r="H121" s="41" t="str">
        <x:v>2026-09-17 ~ 2026-10-01：完成关键词/ASIN/主图标题检查，低预算轻测。</x:v>
      </x:c>
      <x:c r="I121" s="41" t="str">
        <x:v>2026-10-18 ~ 2026-12-01：头部SKU每日看，普通SKU每周2次。</x:v>
      </x:c>
      <x:c r="J121" s="41" t="str">
        <x:f>IF(AND('今日提醒'!$B$2&gt;=$L121,'今日提醒'!$B$2&lt;=$M121,$L121=$M121),"节点当日",IF(AND('今日提醒'!$B$2&gt;=$L121,'今日提醒'!$B$2&lt;=$M121,'今日提醒'!$B$2&gt;$S121),"收尾下滑",IF(AND('今日提醒'!$B$2&gt;=$L121,'今日提醒'!$B$2&lt;=$M121),"节点进行中",IF(AND('今日提醒'!$B$2&gt;$M121,'今日提醒'!$B$2&lt;=$S121),"节后清尾",IF(AND('今日提醒'!$B$2&gt;=$R121,'今日提醒'!$B$2&lt;=$S121),"高频跟进",IF(AND('今日提醒'!$B$2&gt;=($R121-14),'今日提醒'!$B$2&lt;$R121,'今日提醒'!$B$2&lt;$L121),"临近高频",IF(AND(OR($A121="Chinese New Year",$A121="Super Bowl",$A121="Valentine's Day",$A121="Valentine Week",$A121="St. Patrick's Day",$A121="Easter",$A121="Graduation Season",$A121="Prom Season",$A121="Teacher Appreciation Week",$A121="Mother's Day",$A121="Memorial Day",$A121="Father's Day",$A121="Independence Day",$A121="Back-to-School Season",$A121="Labor Day",$A121="Halloween",$A121="Thanksgiving",$A121="Black Friday / Cyber Monday",$A121="Christmas",$A121="New Year's Eve / New Year Season"),'今日提醒'!$B$2&gt;=($R121-30),'今日提醒'!$B$2&lt;$R121,'今日提醒'!$B$2&lt;$L121),"大节气提前",IF(AND('今日提醒'!$B$2&gt;=$P121,'今日提醒'!$B$2&lt;=$Q121),"二次排查",IF(AND(OR($A121="Chinese New Year",$A121="Super Bowl",$A121="Valentine's Day",$A121="Valentine Week",$A121="St. Patrick's Day",$A121="Easter",$A121="Graduation Season",$A121="Prom Season",$A121="Teacher Appreciation Week",$A121="Mother's Day",$A121="Memorial Day",$A121="Father's Day",$A121="Independence Day",$A121="Back-to-School Season",$A121="Labor Day",$A121="Halloween",$A121="Thanksgiving",$A121="Black Friday / Cyber Monday",$A121="Christmas",$A121="New Year's Eve / New Year Season"),'今日提醒'!$B$2&gt;=($P121-14),'今日提醒'!$B$2&lt;$P121,'今日提醒'!$B$2&lt;$L121),"临近二次",IF(AND('今日提醒'!$B$2&gt;=$N121,'今日提醒'!$B$2&lt;=$O121),"一次排查",IF('今日提醒'!$B$2&lt;$N121,"未到排查",IF('今日提醒'!$B$2&lt;$L121,"等待下一窗口","已过"))))))))))))</x:f>
        <x:v>未到排查</x:v>
      </x:c>
      <x:c r="K121" s="41" t="str">
        <x:f>IF($J121="收尾下滑","主购买/高频窗口已过，流量可能走弱：不要盲目加预算或新建组；优先看库存压力、ACOS、广告占比、自然单，仅保留高转化词，计算清货/留仓。",IF($J121="节后清尾","节点已过但仍在清尾窗口：控低效词、降无效预算，复盘转化词；库存重则算清货，库存轻则吃完尾流。",IF($J121="节点当日","今天就是节点当日：优先看转化、库存承接、广告花费和尾流风险；可以吃最后一波有效流量，但不要再大范围新建或盲目加预算。",IF($J121="节点进行中","当前在节点/销售窗口内：这是进行中，不是预热；重点看销量、库存承接、广告花费、转化和是否已出现流量下滑。",IF($J121="高频跟进","今天在高频跟进窗口：头部SKU每日看；重点看高库存、高花费、断货风险和ACOS。",IF($J121="临近高频","高频窗口即将开始：今天先预查广告结构、关键词/ASIN、Listing埋词、库存承接和预算，避免临近节点再补。",IF($J121="大节气提前","大节气提前窗口：不要等高频当天再动；今天先锁定主推SKU、库存承接、Listing节日词、广告结构和预算上限，低相关/低库存产品不硬推。",IF($J121="二次排查","今天在二次排查窗口：补广告结构、关键词/ASIN、预算和Listing埋词。",IF($J121="临近二次","大节气二次排查即将开始：提前准备词/ASIN/图片/价格/促销，不等窗口当天才补结构。",IF($J121="一次排查","今天在一次排查窗口：先筛SKU，看历史动销、库存、利润和Listing匹配。",IF($J121="未到排查","暂不处理，等一次排查窗口。",IF($J121="等待下一窗口","暂不在排查窗口；等高频或节点开始，除非有库存/广告异常。","已过：复盘、降投、清尾或沉淀明年节点。"))))))))))))</x:f>
        <x:v>暂不处理，等一次排查窗口。</x:v>
      </x:c>
      <x:c r="L121" s="42" t="n">
        <x:v>46327</x:v>
      </x:c>
      <x:c r="M121" s="42" t="n">
        <x:v>46387</x:v>
      </x:c>
      <x:c r="N121" s="42" t="n">
        <x:v>46237</x:v>
      </x:c>
      <x:c r="O121" s="42" t="n">
        <x:v>46251</x:v>
      </x:c>
      <x:c r="P121" s="42" t="n">
        <x:v>46282</x:v>
      </x:c>
      <x:c r="Q121" s="42" t="n">
        <x:v>46296</x:v>
      </x:c>
      <x:c r="R121" s="42" t="n">
        <x:v>46313</x:v>
      </x:c>
      <x:c r="S121" s="42" t="n">
        <x:v>46357</x:v>
      </x:c>
      <x:c r="T121" s="43" t="n">
        <x:f>$L121-'今日提醒'!$B$2</x:f>
        <x:v>160</x:v>
      </x:c>
      <x:c r="U121" s="74" t="n">
        <x:f>IF(OR($J121="收尾下滑",$J121="节后清尾",$J121="节点当日",$J121="节点进行中",$J121="高频跟进",$J121="临近高频",$J121="大节气提前",$J121="二次排查",$J121="临近二次",$J121="一次排查"),IF($J121="收尾下滑",1,IF($J121="节后清尾",2,IF($J121="节点当日",3,IF($J121="节点进行中",4,IF($J121="高频跟进",5,IF($J121="临近高频",6,IF($J121="大节气提前",7,IF($J121="二次排查",8,IF($J121="临近二次",9,10)))))))))*100000+ROW(),99999999+ROW())</x:f>
        <x:v>100000120</x:v>
      </x:c>
      <x:c r="V121" s="15" t="str">
        <x:f>IF(OR($J121="收尾下滑",$J121="节后清尾"),"风险/止损",IF($J121="节点当日","机会/当日冲刺",IF($J121="节点进行中","机会/进行中",IF($J121="高频跟进","机会/高频",IF($J121="大节气提前","机会/大节气提前",IF(OR($J121="临近高频",$J121="临近二次",$J121="二次排查",$J121="一次排查"),"机会/预热","非今日"))))))</x:f>
        <x:v>非今日</x:v>
      </x:c>
      <x:c r="W121" s="15" t="str">
        <x:f>IF($J121="收尾下滑","控投/清尾/算留仓",IF($J121="节后清尾","节后降投/复盘",IF($J121="节点当日","当日冲刺/控尾流",IF($J121="节点进行中","转化监控/看趋势",IF($J121="高频跟进","放量+控ACOS",IF($J121="大节气提前","提前锁结构/预算",IF($J121="临近高频","预查结构/埋词",IF($J121="临近二次","提前补结构/埋词",IF($J121="二次排查","补结构/补词",IF($J121="一次排查","筛SKU/核库存","暂无"))))))))))</x:f>
        <x:v>暂无</x:v>
      </x:c>
      <x:c r="X121" s="15" t="str">
        <x:f>IF(AND('今日提醒'!$B$2&gt;=$L121,'今日提醒'!$B$2&lt;=$M121,$L121=$M121),"节点当日：不是预热",IF(AND('今日提醒'!$B$2&gt;=$L121,'今日提醒'!$B$2&lt;=$M121,'今日提醒'!$B$2&gt;$S121),"高频已结束但销售窗口未结束：疑似尾期/下滑",IF(AND('今日提醒'!$B$2&gt;$M121,'今日提醒'!$B$2&lt;=$S121),"节点已过但仍在清尾窗口",IF($J121="大节气提前","大节气高频前30天：提前进入主推准备",IF($J121="临近二次","大节气二次排查前14天：提前准备","")))))</x:f>
      </x:c>
    </x:row>
    <x:row r="122" ht="58" hidden="0" customHeight="1">
      <x:c r="A122" s="41" t="str">
        <x:v>Thanksgiving</x:v>
      </x:c>
      <x:c r="B122" s="41" t="str">
        <x:v>感恩节</x:v>
      </x:c>
      <x:c r="C122" s="41" t="str">
        <x:v>美国下半年核心家庭团聚节点，适合家居、餐桌、感谢礼与秋季装饰。</x:v>
      </x:c>
      <x:c r="D122" s="41" t="str">
        <x:v>2026-11-26</x:v>
      </x:c>
      <x:c r="E122" s="41" t="str">
        <x:v>每年变动</x:v>
      </x:c>
      <x:c r="F122" s="41" t="str">
        <x:v>thank you gifts、秋季家居/餐桌装饰、family gifts、gratitude cards</x:v>
      </x:c>
      <x:c r="G122" s="41" t="str">
        <x:v>2026-07-29 ~ 2026-08-28：先看历史销量、库存/FBA承接、是否需要改Listing。</x:v>
      </x:c>
      <x:c r="H122" s="41" t="str">
        <x:v>2026-09-27 ~ 2026-10-12：广告结构、关键词/ASIN、标题主图必须基本到位。</x:v>
      </x:c>
      <x:c r="I122" s="41" t="str">
        <x:v>2026-11-05 ~ 2026-11-29：头部SKU每日看，过后及时降投/清尾。</x:v>
      </x:c>
      <x:c r="J122" s="41" t="str">
        <x:f>IF(AND('今日提醒'!$B$2&gt;=$L122,'今日提醒'!$B$2&lt;=$M122,$L122=$M122),"节点当日",IF(AND('今日提醒'!$B$2&gt;=$L122,'今日提醒'!$B$2&lt;=$M122,'今日提醒'!$B$2&gt;$S122),"收尾下滑",IF(AND('今日提醒'!$B$2&gt;=$L122,'今日提醒'!$B$2&lt;=$M122),"节点进行中",IF(AND('今日提醒'!$B$2&gt;$M122,'今日提醒'!$B$2&lt;=$S122),"节后清尾",IF(AND('今日提醒'!$B$2&gt;=$R122,'今日提醒'!$B$2&lt;=$S122),"高频跟进",IF(AND('今日提醒'!$B$2&gt;=($R122-14),'今日提醒'!$B$2&lt;$R122,'今日提醒'!$B$2&lt;$L122),"临近高频",IF(AND(OR($A122="Chinese New Year",$A122="Super Bowl",$A122="Valentine's Day",$A122="Valentine Week",$A122="St. Patrick's Day",$A122="Easter",$A122="Graduation Season",$A122="Prom Season",$A122="Teacher Appreciation Week",$A122="Mother's Day",$A122="Memorial Day",$A122="Father's Day",$A122="Independence Day",$A122="Back-to-School Season",$A122="Labor Day",$A122="Halloween",$A122="Thanksgiving",$A122="Black Friday / Cyber Monday",$A122="Christmas",$A122="New Year's Eve / New Year Season"),'今日提醒'!$B$2&gt;=($R122-30),'今日提醒'!$B$2&lt;$R122,'今日提醒'!$B$2&lt;$L122),"大节气提前",IF(AND('今日提醒'!$B$2&gt;=$P122,'今日提醒'!$B$2&lt;=$Q122),"二次排查",IF(AND(OR($A122="Chinese New Year",$A122="Super Bowl",$A122="Valentine's Day",$A122="Valentine Week",$A122="St. Patrick's Day",$A122="Easter",$A122="Graduation Season",$A122="Prom Season",$A122="Teacher Appreciation Week",$A122="Mother's Day",$A122="Memorial Day",$A122="Father's Day",$A122="Independence Day",$A122="Back-to-School Season",$A122="Labor Day",$A122="Halloween",$A122="Thanksgiving",$A122="Black Friday / Cyber Monday",$A122="Christmas",$A122="New Year's Eve / New Year Season"),'今日提醒'!$B$2&gt;=($P122-14),'今日提醒'!$B$2&lt;$P122,'今日提醒'!$B$2&lt;$L122),"临近二次",IF(AND('今日提醒'!$B$2&gt;=$N122,'今日提醒'!$B$2&lt;=$O122),"一次排查",IF('今日提醒'!$B$2&lt;$N122,"未到排查",IF('今日提醒'!$B$2&lt;$L122,"等待下一窗口","已过"))))))))))))</x:f>
        <x:v>未到排查</x:v>
      </x:c>
      <x:c r="K122" s="41" t="str">
        <x:f>IF($J122="收尾下滑","主购买/高频窗口已过，流量可能走弱：不要盲目加预算或新建组；优先看库存压力、ACOS、广告占比、自然单，仅保留高转化词，计算清货/留仓。",IF($J122="节后清尾","节点已过但仍在清尾窗口：控低效词、降无效预算，复盘转化词；库存重则算清货，库存轻则吃完尾流。",IF($J122="节点当日","今天就是节点当日：优先看转化、库存承接、广告花费和尾流风险；可以吃最后一波有效流量，但不要再大范围新建或盲目加预算。",IF($J122="节点进行中","当前在节点/销售窗口内：这是进行中，不是预热；重点看销量、库存承接、广告花费、转化和是否已出现流量下滑。",IF($J122="高频跟进","今天在高频跟进窗口：头部SKU每日看；重点看高库存、高花费、断货风险和ACOS。",IF($J122="临近高频","高频窗口即将开始：今天先预查广告结构、关键词/ASIN、Listing埋词、库存承接和预算，避免临近节点再补。",IF($J122="大节气提前","大节气提前窗口：不要等高频当天再动；今天先锁定主推SKU、库存承接、Listing节日词、广告结构和预算上限，低相关/低库存产品不硬推。",IF($J122="二次排查","今天在二次排查窗口：补广告结构、关键词/ASIN、预算和Listing埋词。",IF($J122="临近二次","大节气二次排查即将开始：提前准备词/ASIN/图片/价格/促销，不等窗口当天才补结构。",IF($J122="一次排查","今天在一次排查窗口：先筛SKU，看历史动销、库存、利润和Listing匹配。",IF($J122="未到排查","暂不处理，等一次排查窗口。",IF($J122="等待下一窗口","暂不在排查窗口；等高频或节点开始，除非有库存/广告异常。","已过：复盘、降投、清尾或沉淀明年节点。"))))))))))))</x:f>
        <x:v>暂不处理，等一次排查窗口。</x:v>
      </x:c>
      <x:c r="L122" s="42" t="n">
        <x:v>46352</x:v>
      </x:c>
      <x:c r="M122" s="42" t="n">
        <x:v>46352</x:v>
      </x:c>
      <x:c r="N122" s="42" t="n">
        <x:v>46232</x:v>
      </x:c>
      <x:c r="O122" s="42" t="n">
        <x:v>46262</x:v>
      </x:c>
      <x:c r="P122" s="42" t="n">
        <x:v>46292</x:v>
      </x:c>
      <x:c r="Q122" s="42" t="n">
        <x:v>46307</x:v>
      </x:c>
      <x:c r="R122" s="42" t="n">
        <x:v>46331</x:v>
      </x:c>
      <x:c r="S122" s="42" t="n">
        <x:v>46355</x:v>
      </x:c>
      <x:c r="T122" s="43" t="n">
        <x:f>$L122-'今日提醒'!$B$2</x:f>
        <x:v>185</x:v>
      </x:c>
      <x:c r="U122" s="74" t="n">
        <x:f>IF(OR($J122="收尾下滑",$J122="节后清尾",$J122="节点当日",$J122="节点进行中",$J122="高频跟进",$J122="临近高频",$J122="大节气提前",$J122="二次排查",$J122="临近二次",$J122="一次排查"),IF($J122="收尾下滑",1,IF($J122="节后清尾",2,IF($J122="节点当日",3,IF($J122="节点进行中",4,IF($J122="高频跟进",5,IF($J122="临近高频",6,IF($J122="大节气提前",7,IF($J122="二次排查",8,IF($J122="临近二次",9,10)))))))))*100000+ROW(),99999999+ROW())</x:f>
        <x:v>100000121</x:v>
      </x:c>
      <x:c r="V122" s="15" t="str">
        <x:f>IF(OR($J122="收尾下滑",$J122="节后清尾"),"风险/止损",IF($J122="节点当日","机会/当日冲刺",IF($J122="节点进行中","机会/进行中",IF($J122="高频跟进","机会/高频",IF($J122="大节气提前","机会/大节气提前",IF(OR($J122="临近高频",$J122="临近二次",$J122="二次排查",$J122="一次排查"),"机会/预热","非今日"))))))</x:f>
        <x:v>非今日</x:v>
      </x:c>
      <x:c r="W122" s="15" t="str">
        <x:f>IF($J122="收尾下滑","控投/清尾/算留仓",IF($J122="节后清尾","节后降投/复盘",IF($J122="节点当日","当日冲刺/控尾流",IF($J122="节点进行中","转化监控/看趋势",IF($J122="高频跟进","放量+控ACOS",IF($J122="大节气提前","提前锁结构/预算",IF($J122="临近高频","预查结构/埋词",IF($J122="临近二次","提前补结构/埋词",IF($J122="二次排查","补结构/补词",IF($J122="一次排查","筛SKU/核库存","暂无"))))))))))</x:f>
        <x:v>暂无</x:v>
      </x:c>
      <x:c r="X122" s="15" t="str">
        <x:f>IF(AND('今日提醒'!$B$2&gt;=$L122,'今日提醒'!$B$2&lt;=$M122,$L122=$M122),"节点当日：不是预热",IF(AND('今日提醒'!$B$2&gt;=$L122,'今日提醒'!$B$2&lt;=$M122,'今日提醒'!$B$2&gt;$S122),"高频已结束但销售窗口未结束：疑似尾期/下滑",IF(AND('今日提醒'!$B$2&gt;$M122,'今日提醒'!$B$2&lt;=$S122),"节点已过但仍在清尾窗口",IF($J122="大节气提前","大节气高频前30天：提前进入主推准备",IF($J122="临近二次","大节气二次排查前14天：提前准备","")))))</x:f>
      </x:c>
    </x:row>
    <x:row r="123" ht="58" hidden="0" customHeight="1">
      <x:c r="A123" s="41" t="str">
        <x:v>Black Friday / Cyber Monday</x:v>
      </x:c>
      <x:c r="B123" s="41" t="str">
        <x:v>黑五/网一</x:v>
      </x:c>
      <x:c r="C123" s="41" t="str">
        <x:v>美国电商最大促销窗口，适合几乎所有品类做价格与广告节奏规划。</x:v>
      </x:c>
      <x:c r="D123" s="41" t="str">
        <x:v>2026-11-27 ~ 2026-11-30</x:v>
      </x:c>
      <x:c r="E123" s="41" t="str">
        <x:v>每年变动</x:v>
      </x:c>
      <x:c r="F123" s="41" t="str">
        <x:v>全品类促销节点：重点看库存、价格、广告预算、清货/放量款</x:v>
      </x:c>
      <x:c r="G123" s="41" t="str">
        <x:v>2026-09-28 ~ 2026-10-13：盘库存、价格、毛利、滞销/可放量SKU。</x:v>
      </x:c>
      <x:c r="H123" s="41" t="str">
        <x:v>2026-11-06 ~ 2026-11-13：定折扣、预算上限、主推/清货名单。</x:v>
      </x:c>
      <x:c r="I123" s="41" t="str">
        <x:v>2026-11-20 ~ 2026-12-02：每日看利润、广告占比、断货和清货效果。</x:v>
      </x:c>
      <x:c r="J123" s="41" t="str">
        <x:f>IF(AND('今日提醒'!$B$2&gt;=$L123,'今日提醒'!$B$2&lt;=$M123,$L123=$M123),"节点当日",IF(AND('今日提醒'!$B$2&gt;=$L123,'今日提醒'!$B$2&lt;=$M123,'今日提醒'!$B$2&gt;$S123),"收尾下滑",IF(AND('今日提醒'!$B$2&gt;=$L123,'今日提醒'!$B$2&lt;=$M123),"节点进行中",IF(AND('今日提醒'!$B$2&gt;$M123,'今日提醒'!$B$2&lt;=$S123),"节后清尾",IF(AND('今日提醒'!$B$2&gt;=$R123,'今日提醒'!$B$2&lt;=$S123),"高频跟进",IF(AND('今日提醒'!$B$2&gt;=($R123-14),'今日提醒'!$B$2&lt;$R123,'今日提醒'!$B$2&lt;$L123),"临近高频",IF(AND(OR($A123="Chinese New Year",$A123="Super Bowl",$A123="Valentine's Day",$A123="Valentine Week",$A123="St. Patrick's Day",$A123="Easter",$A123="Graduation Season",$A123="Prom Season",$A123="Teacher Appreciation Week",$A123="Mother's Day",$A123="Memorial Day",$A123="Father's Day",$A123="Independence Day",$A123="Back-to-School Season",$A123="Labor Day",$A123="Halloween",$A123="Thanksgiving",$A123="Black Friday / Cyber Monday",$A123="Christmas",$A123="New Year's Eve / New Year Season"),'今日提醒'!$B$2&gt;=($R123-30),'今日提醒'!$B$2&lt;$R123,'今日提醒'!$B$2&lt;$L123),"大节气提前",IF(AND('今日提醒'!$B$2&gt;=$P123,'今日提醒'!$B$2&lt;=$Q123),"二次排查",IF(AND(OR($A123="Chinese New Year",$A123="Super Bowl",$A123="Valentine's Day",$A123="Valentine Week",$A123="St. Patrick's Day",$A123="Easter",$A123="Graduation Season",$A123="Prom Season",$A123="Teacher Appreciation Week",$A123="Mother's Day",$A123="Memorial Day",$A123="Father's Day",$A123="Independence Day",$A123="Back-to-School Season",$A123="Labor Day",$A123="Halloween",$A123="Thanksgiving",$A123="Black Friday / Cyber Monday",$A123="Christmas",$A123="New Year's Eve / New Year Season"),'今日提醒'!$B$2&gt;=($P123-14),'今日提醒'!$B$2&lt;$P123,'今日提醒'!$B$2&lt;$L123),"临近二次",IF(AND('今日提醒'!$B$2&gt;=$N123,'今日提醒'!$B$2&lt;=$O123),"一次排查",IF('今日提醒'!$B$2&lt;$N123,"未到排查",IF('今日提醒'!$B$2&lt;$L123,"等待下一窗口","已过"))))))))))))</x:f>
        <x:v>未到排查</x:v>
      </x:c>
      <x:c r="K123" s="41" t="str">
        <x:f>IF($J123="收尾下滑","主购买/高频窗口已过，流量可能走弱：不要盲目加预算或新建组；优先看库存压力、ACOS、广告占比、自然单，仅保留高转化词，计算清货/留仓。",IF($J123="节后清尾","节点已过但仍在清尾窗口：控低效词、降无效预算，复盘转化词；库存重则算清货，库存轻则吃完尾流。",IF($J123="节点当日","今天就是节点当日：优先看转化、库存承接、广告花费和尾流风险；可以吃最后一波有效流量，但不要再大范围新建或盲目加预算。",IF($J123="节点进行中","当前在节点/销售窗口内：这是进行中，不是预热；重点看销量、库存承接、广告花费、转化和是否已出现流量下滑。",IF($J123="高频跟进","今天在高频跟进窗口：头部SKU每日看；重点看高库存、高花费、断货风险和ACOS。",IF($J123="临近高频","高频窗口即将开始：今天先预查广告结构、关键词/ASIN、Listing埋词、库存承接和预算，避免临近节点再补。",IF($J123="大节气提前","大节气提前窗口：不要等高频当天再动；今天先锁定主推SKU、库存承接、Listing节日词、广告结构和预算上限，低相关/低库存产品不硬推。",IF($J123="二次排查","今天在二次排查窗口：补广告结构、关键词/ASIN、预算和Listing埋词。",IF($J123="临近二次","大节气二次排查即将开始：提前准备词/ASIN/图片/价格/促销，不等窗口当天才补结构。",IF($J123="一次排查","今天在一次排查窗口：先筛SKU，看历史动销、库存、利润和Listing匹配。",IF($J123="未到排查","暂不处理，等一次排查窗口。",IF($J123="等待下一窗口","暂不在排查窗口；等高频或节点开始，除非有库存/广告异常。","已过：复盘、降投、清尾或沉淀明年节点。"))))))))))))</x:f>
        <x:v>暂不处理，等一次排查窗口。</x:v>
      </x:c>
      <x:c r="L123" s="42" t="n">
        <x:v>46353</x:v>
      </x:c>
      <x:c r="M123" s="42" t="n">
        <x:v>46356</x:v>
      </x:c>
      <x:c r="N123" s="42" t="n">
        <x:v>46293</x:v>
      </x:c>
      <x:c r="O123" s="42" t="n">
        <x:v>46308</x:v>
      </x:c>
      <x:c r="P123" s="42" t="n">
        <x:v>46332</x:v>
      </x:c>
      <x:c r="Q123" s="42" t="n">
        <x:v>46339</x:v>
      </x:c>
      <x:c r="R123" s="42" t="n">
        <x:v>46346</x:v>
      </x:c>
      <x:c r="S123" s="42" t="n">
        <x:v>46358</x:v>
      </x:c>
      <x:c r="T123" s="43" t="n">
        <x:f>$L123-'今日提醒'!$B$2</x:f>
        <x:v>186</x:v>
      </x:c>
      <x:c r="U123" s="74" t="n">
        <x:f>IF(OR($J123="收尾下滑",$J123="节后清尾",$J123="节点当日",$J123="节点进行中",$J123="高频跟进",$J123="临近高频",$J123="大节气提前",$J123="二次排查",$J123="临近二次",$J123="一次排查"),IF($J123="收尾下滑",1,IF($J123="节后清尾",2,IF($J123="节点当日",3,IF($J123="节点进行中",4,IF($J123="高频跟进",5,IF($J123="临近高频",6,IF($J123="大节气提前",7,IF($J123="二次排查",8,IF($J123="临近二次",9,10)))))))))*100000+ROW(),99999999+ROW())</x:f>
        <x:v>100000122</x:v>
      </x:c>
      <x:c r="V123" s="15" t="str">
        <x:f>IF(OR($J123="收尾下滑",$J123="节后清尾"),"风险/止损",IF($J123="节点当日","机会/当日冲刺",IF($J123="节点进行中","机会/进行中",IF($J123="高频跟进","机会/高频",IF($J123="大节气提前","机会/大节气提前",IF(OR($J123="临近高频",$J123="临近二次",$J123="二次排查",$J123="一次排查"),"机会/预热","非今日"))))))</x:f>
        <x:v>非今日</x:v>
      </x:c>
      <x:c r="W123" s="15" t="str">
        <x:f>IF($J123="收尾下滑","控投/清尾/算留仓",IF($J123="节后清尾","节后降投/复盘",IF($J123="节点当日","当日冲刺/控尾流",IF($J123="节点进行中","转化监控/看趋势",IF($J123="高频跟进","放量+控ACOS",IF($J123="大节气提前","提前锁结构/预算",IF($J123="临近高频","预查结构/埋词",IF($J123="临近二次","提前补结构/埋词",IF($J123="二次排查","补结构/补词",IF($J123="一次排查","筛SKU/核库存","暂无"))))))))))</x:f>
        <x:v>暂无</x:v>
      </x:c>
      <x:c r="X123" s="15" t="str">
        <x:f>IF(AND('今日提醒'!$B$2&gt;=$L123,'今日提醒'!$B$2&lt;=$M123,$L123=$M123),"节点当日：不是预热",IF(AND('今日提醒'!$B$2&gt;=$L123,'今日提醒'!$B$2&lt;=$M123,'今日提醒'!$B$2&gt;$S123),"高频已结束但销售窗口未结束：疑似尾期/下滑",IF(AND('今日提醒'!$B$2&gt;$M123,'今日提醒'!$B$2&lt;=$S123),"节点已过但仍在清尾窗口",IF($J123="大节气提前","大节气高频前30天：提前进入主推准备",IF($J123="临近二次","大节气二次排查前14天：提前准备","")))))</x:f>
      </x:c>
    </x:row>
    <x:row r="124" ht="58" hidden="0" customHeight="1">
      <x:c r="A124" s="41" t="str">
        <x:v>Giving Tuesday</x:v>
      </x:c>
      <x:c r="B124" s="41" t="str">
        <x:v>公益星期二</x:v>
      </x:c>
      <x:c r="C124" s="41" t="str">
        <x:v>感恩节后鼓励捐赠、志愿服务与善意行动的全球公益节点，适合church、charity、kindness主题。</x:v>
      </x:c>
      <x:c r="D124" s="41" t="str">
        <x:v>2026-12-01</x:v>
      </x:c>
      <x:c r="E124" s="41" t="str">
        <x:v>每年变动</x:v>
      </x:c>
      <x:c r="F124" s="41" t="str">
        <x:v>charity/church/kindness主题礼品、thank you cards、公益感谢小礼</x:v>
      </x:c>
      <x:c r="G124" s="41" t="str">
        <x:v>2026-10-02 ~ 2026-10-17：先筛匹配SKU、历史销量、库存和利润空间。</x:v>
      </x:c>
      <x:c r="H124" s="41" t="str">
        <x:v>2026-11-01 ~ 2026-11-10：补关键词/ASIN、Listing埋词和广告预算。</x:v>
      </x:c>
      <x:c r="I124" s="41" t="str">
        <x:v>2026-11-17 ~ 2026-12-03：重点SKU每日看，普通SKU每2-3天看。</x:v>
      </x:c>
      <x:c r="J124" s="41" t="str">
        <x:f>IF(AND('今日提醒'!$B$2&gt;=$L124,'今日提醒'!$B$2&lt;=$M124,$L124=$M124),"节点当日",IF(AND('今日提醒'!$B$2&gt;=$L124,'今日提醒'!$B$2&lt;=$M124,'今日提醒'!$B$2&gt;$S124),"收尾下滑",IF(AND('今日提醒'!$B$2&gt;=$L124,'今日提醒'!$B$2&lt;=$M124),"节点进行中",IF(AND('今日提醒'!$B$2&gt;$M124,'今日提醒'!$B$2&lt;=$S124),"节后清尾",IF(AND('今日提醒'!$B$2&gt;=$R124,'今日提醒'!$B$2&lt;=$S124),"高频跟进",IF(AND('今日提醒'!$B$2&gt;=($R124-14),'今日提醒'!$B$2&lt;$R124,'今日提醒'!$B$2&lt;$L124),"临近高频",IF(AND(OR($A124="Chinese New Year",$A124="Super Bowl",$A124="Valentine's Day",$A124="Valentine Week",$A124="St. Patrick's Day",$A124="Easter",$A124="Graduation Season",$A124="Prom Season",$A124="Teacher Appreciation Week",$A124="Mother's Day",$A124="Memorial Day",$A124="Father's Day",$A124="Independence Day",$A124="Back-to-School Season",$A124="Labor Day",$A124="Halloween",$A124="Thanksgiving",$A124="Black Friday / Cyber Monday",$A124="Christmas",$A124="New Year's Eve / New Year Season"),'今日提醒'!$B$2&gt;=($R124-30),'今日提醒'!$B$2&lt;$R124,'今日提醒'!$B$2&lt;$L124),"大节气提前",IF(AND('今日提醒'!$B$2&gt;=$P124,'今日提醒'!$B$2&lt;=$Q124),"二次排查",IF(AND(OR($A124="Chinese New Year",$A124="Super Bowl",$A124="Valentine's Day",$A124="Valentine Week",$A124="St. Patrick's Day",$A124="Easter",$A124="Graduation Season",$A124="Prom Season",$A124="Teacher Appreciation Week",$A124="Mother's Day",$A124="Memorial Day",$A124="Father's Day",$A124="Independence Day",$A124="Back-to-School Season",$A124="Labor Day",$A124="Halloween",$A124="Thanksgiving",$A124="Black Friday / Cyber Monday",$A124="Christmas",$A124="New Year's Eve / New Year Season"),'今日提醒'!$B$2&gt;=($P124-14),'今日提醒'!$B$2&lt;$P124,'今日提醒'!$B$2&lt;$L124),"临近二次",IF(AND('今日提醒'!$B$2&gt;=$N124,'今日提醒'!$B$2&lt;=$O124),"一次排查",IF('今日提醒'!$B$2&lt;$N124,"未到排查",IF('今日提醒'!$B$2&lt;$L124,"等待下一窗口","已过"))))))))))))</x:f>
        <x:v>未到排查</x:v>
      </x:c>
      <x:c r="K124" s="41" t="str">
        <x:f>IF($J124="收尾下滑","主购买/高频窗口已过，流量可能走弱：不要盲目加预算或新建组；优先看库存压力、ACOS、广告占比、自然单，仅保留高转化词，计算清货/留仓。",IF($J124="节后清尾","节点已过但仍在清尾窗口：控低效词、降无效预算，复盘转化词；库存重则算清货，库存轻则吃完尾流。",IF($J124="节点当日","今天就是节点当日：优先看转化、库存承接、广告花费和尾流风险；可以吃最后一波有效流量，但不要再大范围新建或盲目加预算。",IF($J124="节点进行中","当前在节点/销售窗口内：这是进行中，不是预热；重点看销量、库存承接、广告花费、转化和是否已出现流量下滑。",IF($J124="高频跟进","今天在高频跟进窗口：头部SKU每日看；重点看高库存、高花费、断货风险和ACOS。",IF($J124="临近高频","高频窗口即将开始：今天先预查广告结构、关键词/ASIN、Listing埋词、库存承接和预算，避免临近节点再补。",IF($J124="大节气提前","大节气提前窗口：不要等高频当天再动；今天先锁定主推SKU、库存承接、Listing节日词、广告结构和预算上限，低相关/低库存产品不硬推。",IF($J124="二次排查","今天在二次排查窗口：补广告结构、关键词/ASIN、预算和Listing埋词。",IF($J124="临近二次","大节气二次排查即将开始：提前准备词/ASIN/图片/价格/促销，不等窗口当天才补结构。",IF($J124="一次排查","今天在一次排查窗口：先筛SKU，看历史动销、库存、利润和Listing匹配。",IF($J124="未到排查","暂不处理，等一次排查窗口。",IF($J124="等待下一窗口","暂不在排查窗口；等高频或节点开始，除非有库存/广告异常。","已过：复盘、降投、清尾或沉淀明年节点。"))))))))))))</x:f>
        <x:v>暂不处理，等一次排查窗口。</x:v>
      </x:c>
      <x:c r="L124" s="42" t="n">
        <x:v>46357</x:v>
      </x:c>
      <x:c r="M124" s="42" t="n">
        <x:v>46357</x:v>
      </x:c>
      <x:c r="N124" s="42" t="n">
        <x:v>46297</x:v>
      </x:c>
      <x:c r="O124" s="42" t="n">
        <x:v>46312</x:v>
      </x:c>
      <x:c r="P124" s="42" t="n">
        <x:v>46327</x:v>
      </x:c>
      <x:c r="Q124" s="42" t="n">
        <x:v>46336</x:v>
      </x:c>
      <x:c r="R124" s="42" t="n">
        <x:v>46343</x:v>
      </x:c>
      <x:c r="S124" s="42" t="n">
        <x:v>46359</x:v>
      </x:c>
      <x:c r="T124" s="43" t="n">
        <x:f>$L124-'今日提醒'!$B$2</x:f>
        <x:v>190</x:v>
      </x:c>
      <x:c r="U124" s="74" t="n">
        <x:f>IF(OR($J124="收尾下滑",$J124="节后清尾",$J124="节点当日",$J124="节点进行中",$J124="高频跟进",$J124="临近高频",$J124="大节气提前",$J124="二次排查",$J124="临近二次",$J124="一次排查"),IF($J124="收尾下滑",1,IF($J124="节后清尾",2,IF($J124="节点当日",3,IF($J124="节点进行中",4,IF($J124="高频跟进",5,IF($J124="临近高频",6,IF($J124="大节气提前",7,IF($J124="二次排查",8,IF($J124="临近二次",9,10)))))))))*100000+ROW(),99999999+ROW())</x:f>
        <x:v>100000123</x:v>
      </x:c>
      <x:c r="V124" s="15" t="str">
        <x:f>IF(OR($J124="收尾下滑",$J124="节后清尾"),"风险/止损",IF($J124="节点当日","机会/当日冲刺",IF($J124="节点进行中","机会/进行中",IF($J124="高频跟进","机会/高频",IF($J124="大节气提前","机会/大节气提前",IF(OR($J124="临近高频",$J124="临近二次",$J124="二次排查",$J124="一次排查"),"机会/预热","非今日"))))))</x:f>
        <x:v>非今日</x:v>
      </x:c>
      <x:c r="W124" s="15" t="str">
        <x:f>IF($J124="收尾下滑","控投/清尾/算留仓",IF($J124="节后清尾","节后降投/复盘",IF($J124="节点当日","当日冲刺/控尾流",IF($J124="节点进行中","转化监控/看趋势",IF($J124="高频跟进","放量+控ACOS",IF($J124="大节气提前","提前锁结构/预算",IF($J124="临近高频","预查结构/埋词",IF($J124="临近二次","提前补结构/埋词",IF($J124="二次排查","补结构/补词",IF($J124="一次排查","筛SKU/核库存","暂无"))))))))))</x:f>
        <x:v>暂无</x:v>
      </x:c>
      <x:c r="X124" s="15" t="str">
        <x:f>IF(AND('今日提醒'!$B$2&gt;=$L124,'今日提醒'!$B$2&lt;=$M124,$L124=$M124),"节点当日：不是预热",IF(AND('今日提醒'!$B$2&gt;=$L124,'今日提醒'!$B$2&lt;=$M124,'今日提醒'!$B$2&gt;$S124),"高频已结束但销售窗口未结束：疑似尾期/下滑",IF(AND('今日提醒'!$B$2&gt;$M124,'今日提醒'!$B$2&lt;=$S124),"节点已过但仍在清尾窗口",IF($J124="大节气提前","大节气高频前30天：提前进入主推准备",IF($J124="临近二次","大节气二次排查前14天：提前准备","")))))</x:f>
      </x:c>
    </x:row>
    <x:row r="125" ht="58" hidden="0" customHeight="1">
      <x:c r="A125" s="41" t="str">
        <x:v>Diwali / Deepavali</x:v>
      </x:c>
      <x:c r="B125" s="41" t="str">
        <x:v>排灯节/印度灯节</x:v>
      </x:c>
      <x:c r="C125" s="41" t="str">
        <x:v>印度及南亚重要灯节，适合灯饰、家居装饰、礼品和文化元素产品。</x:v>
      </x:c>
      <x:c r="D125" s="41" t="str">
        <x:v>2026-11-08</x:v>
      </x:c>
      <x:c r="E125" s="41" t="str">
        <x:v>每年变动</x:v>
      </x:c>
      <x:c r="F125" s="41" t="str">
        <x:v>Diwali灯饰、家居装饰、印度文化礼品、祝福卡</x:v>
      </x:c>
      <x:c r="G125" s="41" t="str">
        <x:v>2026-07-11 ~ 2026-08-10：先看历史销量、库存/FBA承接、是否需要改Listing。</x:v>
      </x:c>
      <x:c r="H125" s="41" t="str">
        <x:v>2026-09-09 ~ 2026-09-24：广告结构、关键词/ASIN、标题主图必须基本到位。</x:v>
      </x:c>
      <x:c r="I125" s="41" t="str">
        <x:v>2026-10-18 ~ 2026-11-11：头部SKU每日看，过后及时降投/清尾。</x:v>
      </x:c>
      <x:c r="J125" s="41" t="str">
        <x:f>IF(AND('今日提醒'!$B$2&gt;=$L125,'今日提醒'!$B$2&lt;=$M125,$L125=$M125),"节点当日",IF(AND('今日提醒'!$B$2&gt;=$L125,'今日提醒'!$B$2&lt;=$M125,'今日提醒'!$B$2&gt;$S125),"收尾下滑",IF(AND('今日提醒'!$B$2&gt;=$L125,'今日提醒'!$B$2&lt;=$M125),"节点进行中",IF(AND('今日提醒'!$B$2&gt;$M125,'今日提醒'!$B$2&lt;=$S125),"节后清尾",IF(AND('今日提醒'!$B$2&gt;=$R125,'今日提醒'!$B$2&lt;=$S125),"高频跟进",IF(AND('今日提醒'!$B$2&gt;=($R125-14),'今日提醒'!$B$2&lt;$R125,'今日提醒'!$B$2&lt;$L125),"临近高频",IF(AND(OR($A125="Chinese New Year",$A125="Super Bowl",$A125="Valentine's Day",$A125="Valentine Week",$A125="St. Patrick's Day",$A125="Easter",$A125="Graduation Season",$A125="Prom Season",$A125="Teacher Appreciation Week",$A125="Mother's Day",$A125="Memorial Day",$A125="Father's Day",$A125="Independence Day",$A125="Back-to-School Season",$A125="Labor Day",$A125="Halloween",$A125="Thanksgiving",$A125="Black Friday / Cyber Monday",$A125="Christmas",$A125="New Year's Eve / New Year Season"),'今日提醒'!$B$2&gt;=($R125-30),'今日提醒'!$B$2&lt;$R125,'今日提醒'!$B$2&lt;$L125),"大节气提前",IF(AND('今日提醒'!$B$2&gt;=$P125,'今日提醒'!$B$2&lt;=$Q125),"二次排查",IF(AND(OR($A125="Chinese New Year",$A125="Super Bowl",$A125="Valentine's Day",$A125="Valentine Week",$A125="St. Patrick's Day",$A125="Easter",$A125="Graduation Season",$A125="Prom Season",$A125="Teacher Appreciation Week",$A125="Mother's Day",$A125="Memorial Day",$A125="Father's Day",$A125="Independence Day",$A125="Back-to-School Season",$A125="Labor Day",$A125="Halloween",$A125="Thanksgiving",$A125="Black Friday / Cyber Monday",$A125="Christmas",$A125="New Year's Eve / New Year Season"),'今日提醒'!$B$2&gt;=($P125-14),'今日提醒'!$B$2&lt;$P125,'今日提醒'!$B$2&lt;$L125),"临近二次",IF(AND('今日提醒'!$B$2&gt;=$N125,'今日提醒'!$B$2&lt;=$O125),"一次排查",IF('今日提醒'!$B$2&lt;$N125,"未到排查",IF('今日提醒'!$B$2&lt;$L125,"等待下一窗口","已过"))))))))))))</x:f>
        <x:v>未到排查</x:v>
      </x:c>
      <x:c r="K125" s="41" t="str">
        <x:f>IF($J125="收尾下滑","主购买/高频窗口已过，流量可能走弱：不要盲目加预算或新建组；优先看库存压力、ACOS、广告占比、自然单，仅保留高转化词，计算清货/留仓。",IF($J125="节后清尾","节点已过但仍在清尾窗口：控低效词、降无效预算，复盘转化词；库存重则算清货，库存轻则吃完尾流。",IF($J125="节点当日","今天就是节点当日：优先看转化、库存承接、广告花费和尾流风险；可以吃最后一波有效流量，但不要再大范围新建或盲目加预算。",IF($J125="节点进行中","当前在节点/销售窗口内：这是进行中，不是预热；重点看销量、库存承接、广告花费、转化和是否已出现流量下滑。",IF($J125="高频跟进","今天在高频跟进窗口：头部SKU每日看；重点看高库存、高花费、断货风险和ACOS。",IF($J125="临近高频","高频窗口即将开始：今天先预查广告结构、关键词/ASIN、Listing埋词、库存承接和预算，避免临近节点再补。",IF($J125="大节气提前","大节气提前窗口：不要等高频当天再动；今天先锁定主推SKU、库存承接、Listing节日词、广告结构和预算上限，低相关/低库存产品不硬推。",IF($J125="二次排查","今天在二次排查窗口：补广告结构、关键词/ASIN、预算和Listing埋词。",IF($J125="临近二次","大节气二次排查即将开始：提前准备词/ASIN/图片/价格/促销，不等窗口当天才补结构。",IF($J125="一次排查","今天在一次排查窗口：先筛SKU，看历史动销、库存、利润和Listing匹配。",IF($J125="未到排查","暂不处理，等一次排查窗口。",IF($J125="等待下一窗口","暂不在排查窗口；等高频或节点开始，除非有库存/广告异常。","已过：复盘、降投、清尾或沉淀明年节点。"))))))))))))</x:f>
        <x:v>暂不处理，等一次排查窗口。</x:v>
      </x:c>
      <x:c r="L125" s="42" t="n">
        <x:v>46334</x:v>
      </x:c>
      <x:c r="M125" s="42" t="n">
        <x:v>46334</x:v>
      </x:c>
      <x:c r="N125" s="42" t="n">
        <x:v>46214</x:v>
      </x:c>
      <x:c r="O125" s="42" t="n">
        <x:v>46244</x:v>
      </x:c>
      <x:c r="P125" s="42" t="n">
        <x:v>46274</x:v>
      </x:c>
      <x:c r="Q125" s="42" t="n">
        <x:v>46289</x:v>
      </x:c>
      <x:c r="R125" s="42" t="n">
        <x:v>46313</x:v>
      </x:c>
      <x:c r="S125" s="42" t="n">
        <x:v>46337</x:v>
      </x:c>
      <x:c r="T125" s="43" t="n">
        <x:f>$L125-'今日提醒'!$B$2</x:f>
        <x:v>167</x:v>
      </x:c>
      <x:c r="U125" s="74" t="n">
        <x:f>IF(OR($J125="收尾下滑",$J125="节后清尾",$J125="节点当日",$J125="节点进行中",$J125="高频跟进",$J125="临近高频",$J125="大节气提前",$J125="二次排查",$J125="临近二次",$J125="一次排查"),IF($J125="收尾下滑",1,IF($J125="节后清尾",2,IF($J125="节点当日",3,IF($J125="节点进行中",4,IF($J125="高频跟进",5,IF($J125="临近高频",6,IF($J125="大节气提前",7,IF($J125="二次排查",8,IF($J125="临近二次",9,10)))))))))*100000+ROW(),99999999+ROW())</x:f>
        <x:v>100000124</x:v>
      </x:c>
      <x:c r="V125" s="15" t="str">
        <x:f>IF(OR($J125="收尾下滑",$J125="节后清尾"),"风险/止损",IF($J125="节点当日","机会/当日冲刺",IF($J125="节点进行中","机会/进行中",IF($J125="高频跟进","机会/高频",IF($J125="大节气提前","机会/大节气提前",IF(OR($J125="临近高频",$J125="临近二次",$J125="二次排查",$J125="一次排查"),"机会/预热","非今日"))))))</x:f>
        <x:v>非今日</x:v>
      </x:c>
      <x:c r="W125" s="15" t="str">
        <x:f>IF($J125="收尾下滑","控投/清尾/算留仓",IF($J125="节后清尾","节后降投/复盘",IF($J125="节点当日","当日冲刺/控尾流",IF($J125="节点进行中","转化监控/看趋势",IF($J125="高频跟进","放量+控ACOS",IF($J125="大节气提前","提前锁结构/预算",IF($J125="临近高频","预查结构/埋词",IF($J125="临近二次","提前补结构/埋词",IF($J125="二次排查","补结构/补词",IF($J125="一次排查","筛SKU/核库存","暂无"))))))))))</x:f>
        <x:v>暂无</x:v>
      </x:c>
      <x:c r="X125" s="15" t="str">
        <x:f>IF(AND('今日提醒'!$B$2&gt;=$L125,'今日提醒'!$B$2&lt;=$M125,$L125=$M125),"节点当日：不是预热",IF(AND('今日提醒'!$B$2&gt;=$L125,'今日提醒'!$B$2&lt;=$M125,'今日提醒'!$B$2&gt;$S125),"高频已结束但销售窗口未结束：疑似尾期/下滑",IF(AND('今日提醒'!$B$2&gt;$M125,'今日提醒'!$B$2&lt;=$S125),"节点已过但仍在清尾窗口",IF($J125="大节气提前","大节气高频前30天：提前进入主推准备",IF($J125="临近二次","大节气二次排查前14天：提前准备","")))))</x:f>
      </x:c>
    </x:row>
    <x:row r="126" ht="58" hidden="0" customHeight="1">
      <x:c r="A126" s="41" t="str">
        <x:v>Christmas</x:v>
      </x:c>
      <x:c r="B126" s="41" t="str">
        <x:v>圣诞节</x:v>
      </x:c>
      <x:c r="C126" s="41" t="str">
        <x:v>全年最大礼品与装饰节点之一，适合礼品、宗教、家居、装饰、stocking stuffer。</x:v>
      </x:c>
      <x:c r="D126" s="41" t="str">
        <x:v>2026-10-01 ~ 2026-12-25</x:v>
      </x:c>
      <x:c r="E126" s="41" t="str">
        <x:v>固定日期+销售窗口：以10月上旬预热到圣诞节为运营窗口</x:v>
      </x:c>
      <x:c r="F126" s="41" t="str">
        <x:v>Christmas gifts、ornaments、stocking stuffers、Christian Christmas gifts</x:v>
      </x:c>
      <x:c r="G126" s="41" t="str">
        <x:v>2026-06-03 ~ 2026-07-03：先看历史销量、库存/FBA承接、是否需要改Listing。</x:v>
      </x:c>
      <x:c r="H126" s="41" t="str">
        <x:v>2026-08-02 ~ 2026-08-17：广告结构、关键词/ASIN、标题主图必须基本到位。</x:v>
      </x:c>
      <x:c r="I126" s="41" t="str">
        <x:v>2026-09-10 ~ 2026-12-28：头部SKU每日看，过后及时降投/清尾。</x:v>
      </x:c>
      <x:c r="J126" s="41" t="str">
        <x:f>IF(AND('今日提醒'!$B$2&gt;=$L126,'今日提醒'!$B$2&lt;=$M126,$L126=$M126),"节点当日",IF(AND('今日提醒'!$B$2&gt;=$L126,'今日提醒'!$B$2&lt;=$M126,'今日提醒'!$B$2&gt;$S126),"收尾下滑",IF(AND('今日提醒'!$B$2&gt;=$L126,'今日提醒'!$B$2&lt;=$M126),"节点进行中",IF(AND('今日提醒'!$B$2&gt;$M126,'今日提醒'!$B$2&lt;=$S126),"节后清尾",IF(AND('今日提醒'!$B$2&gt;=$R126,'今日提醒'!$B$2&lt;=$S126),"高频跟进",IF(AND('今日提醒'!$B$2&gt;=($R126-14),'今日提醒'!$B$2&lt;$R126,'今日提醒'!$B$2&lt;$L126),"临近高频",IF(AND(OR($A126="Chinese New Year",$A126="Super Bowl",$A126="Valentine's Day",$A126="Valentine Week",$A126="St. Patrick's Day",$A126="Easter",$A126="Graduation Season",$A126="Prom Season",$A126="Teacher Appreciation Week",$A126="Mother's Day",$A126="Memorial Day",$A126="Father's Day",$A126="Independence Day",$A126="Back-to-School Season",$A126="Labor Day",$A126="Halloween",$A126="Thanksgiving",$A126="Black Friday / Cyber Monday",$A126="Christmas",$A126="New Year's Eve / New Year Season"),'今日提醒'!$B$2&gt;=($R126-30),'今日提醒'!$B$2&lt;$R126,'今日提醒'!$B$2&lt;$L126),"大节气提前",IF(AND('今日提醒'!$B$2&gt;=$P126,'今日提醒'!$B$2&lt;=$Q126),"二次排查",IF(AND(OR($A126="Chinese New Year",$A126="Super Bowl",$A126="Valentine's Day",$A126="Valentine Week",$A126="St. Patrick's Day",$A126="Easter",$A126="Graduation Season",$A126="Prom Season",$A126="Teacher Appreciation Week",$A126="Mother's Day",$A126="Memorial Day",$A126="Father's Day",$A126="Independence Day",$A126="Back-to-School Season",$A126="Labor Day",$A126="Halloween",$A126="Thanksgiving",$A126="Black Friday / Cyber Monday",$A126="Christmas",$A126="New Year's Eve / New Year Season"),'今日提醒'!$B$2&gt;=($P126-14),'今日提醒'!$B$2&lt;$P126,'今日提醒'!$B$2&lt;$L126),"临近二次",IF(AND('今日提醒'!$B$2&gt;=$N126,'今日提醒'!$B$2&lt;=$O126),"一次排查",IF('今日提醒'!$B$2&lt;$N126,"未到排查",IF('今日提醒'!$B$2&lt;$L126,"等待下一窗口","已过"))))))))))))</x:f>
        <x:v>未到排查</x:v>
      </x:c>
      <x:c r="K126" s="41" t="str">
        <x:f>IF($J126="收尾下滑","主购买/高频窗口已过，流量可能走弱：不要盲目加预算或新建组；优先看库存压力、ACOS、广告占比、自然单，仅保留高转化词，计算清货/留仓。",IF($J126="节后清尾","节点已过但仍在清尾窗口：控低效词、降无效预算，复盘转化词；库存重则算清货，库存轻则吃完尾流。",IF($J126="节点当日","今天就是节点当日：优先看转化、库存承接、广告花费和尾流风险；可以吃最后一波有效流量，但不要再大范围新建或盲目加预算。",IF($J126="节点进行中","当前在节点/销售窗口内：这是进行中，不是预热；重点看销量、库存承接、广告花费、转化和是否已出现流量下滑。",IF($J126="高频跟进","今天在高频跟进窗口：头部SKU每日看；重点看高库存、高花费、断货风险和ACOS。",IF($J126="临近高频","高频窗口即将开始：今天先预查广告结构、关键词/ASIN、Listing埋词、库存承接和预算，避免临近节点再补。",IF($J126="大节气提前","大节气提前窗口：不要等高频当天再动；今天先锁定主推SKU、库存承接、Listing节日词、广告结构和预算上限，低相关/低库存产品不硬推。",IF($J126="二次排查","今天在二次排查窗口：补广告结构、关键词/ASIN、预算和Listing埋词。",IF($J126="临近二次","大节气二次排查即将开始：提前准备词/ASIN/图片/价格/促销，不等窗口当天才补结构。",IF($J126="一次排查","今天在一次排查窗口：先筛SKU，看历史动销、库存、利润和Listing匹配。",IF($J126="未到排查","暂不处理，等一次排查窗口。",IF($J126="等待下一窗口","暂不在排查窗口；等高频或节点开始，除非有库存/广告异常。","已过：复盘、降投、清尾或沉淀明年节点。"))))))))))))</x:f>
        <x:v>暂不处理，等一次排查窗口。</x:v>
      </x:c>
      <x:c r="L126" s="42" t="n">
        <x:v>46296</x:v>
      </x:c>
      <x:c r="M126" s="42" t="n">
        <x:v>46381</x:v>
      </x:c>
      <x:c r="N126" s="42" t="n">
        <x:v>46176</x:v>
      </x:c>
      <x:c r="O126" s="42" t="n">
        <x:v>46206</x:v>
      </x:c>
      <x:c r="P126" s="42" t="n">
        <x:v>46236</x:v>
      </x:c>
      <x:c r="Q126" s="42" t="n">
        <x:v>46251</x:v>
      </x:c>
      <x:c r="R126" s="42" t="n">
        <x:v>46275</x:v>
      </x:c>
      <x:c r="S126" s="42" t="n">
        <x:v>46384</x:v>
      </x:c>
      <x:c r="T126" s="43" t="n">
        <x:f>$L126-'今日提醒'!$B$2</x:f>
        <x:v>129</x:v>
      </x:c>
      <x:c r="U126" s="74" t="n">
        <x:f>IF(OR($J126="收尾下滑",$J126="节后清尾",$J126="节点当日",$J126="节点进行中",$J126="高频跟进",$J126="临近高频",$J126="大节气提前",$J126="二次排查",$J126="临近二次",$J126="一次排查"),IF($J126="收尾下滑",1,IF($J126="节后清尾",2,IF($J126="节点当日",3,IF($J126="节点进行中",4,IF($J126="高频跟进",5,IF($J126="临近高频",6,IF($J126="大节气提前",7,IF($J126="二次排查",8,IF($J126="临近二次",9,10)))))))))*100000+ROW(),99999999+ROW())</x:f>
        <x:v>100000125</x:v>
      </x:c>
      <x:c r="V126" s="15" t="str">
        <x:f>IF(OR($J126="收尾下滑",$J126="节后清尾"),"风险/止损",IF($J126="节点当日","机会/当日冲刺",IF($J126="节点进行中","机会/进行中",IF($J126="高频跟进","机会/高频",IF($J126="大节气提前","机会/大节气提前",IF(OR($J126="临近高频",$J126="临近二次",$J126="二次排查",$J126="一次排查"),"机会/预热","非今日"))))))</x:f>
        <x:v>非今日</x:v>
      </x:c>
      <x:c r="W126" s="15" t="str">
        <x:f>IF($J126="收尾下滑","控投/清尾/算留仓",IF($J126="节后清尾","节后降投/复盘",IF($J126="节点当日","当日冲刺/控尾流",IF($J126="节点进行中","转化监控/看趋势",IF($J126="高频跟进","放量+控ACOS",IF($J126="大节气提前","提前锁结构/预算",IF($J126="临近高频","预查结构/埋词",IF($J126="临近二次","提前补结构/埋词",IF($J126="二次排查","补结构/补词",IF($J126="一次排查","筛SKU/核库存","暂无"))))))))))</x:f>
        <x:v>暂无</x:v>
      </x:c>
      <x:c r="X126" s="15" t="str">
        <x:f>IF(AND('今日提醒'!$B$2&gt;=$L126,'今日提醒'!$B$2&lt;=$M126,$L126=$M126),"节点当日：不是预热",IF(AND('今日提醒'!$B$2&gt;=$L126,'今日提醒'!$B$2&lt;=$M126,'今日提醒'!$B$2&gt;$S126),"高频已结束但销售窗口未结束：疑似尾期/下滑",IF(AND('今日提醒'!$B$2&gt;$M126,'今日提醒'!$B$2&lt;=$S126),"节点已过但仍在清尾窗口",IF($J126="大节气提前","大节气高频前30天：提前进入主推准备",IF($J126="临近二次","大节气二次排查前14天：提前准备","")))))</x:f>
      </x:c>
    </x:row>
    <x:row r="127" ht="58" hidden="0" customHeight="1">
      <x:c r="A127" s="41" t="str">
        <x:v>Hanukkah / Chanukah</x:v>
      </x:c>
      <x:c r="B127" s="41" t="str">
        <x:v>光明节/哈努卡</x:v>
      </x:c>
      <x:c r="C127" s="41" t="str">
        <x:v>犹太八日光明节，适合犹太文化礼品、menorah、蓝白银装饰。</x:v>
      </x:c>
      <x:c r="D127" s="41" t="str">
        <x:v>2026-12-04 ~ 2026-12-12</x:v>
      </x:c>
      <x:c r="E127" s="41" t="str">
        <x:v>每年变动</x:v>
      </x:c>
      <x:c r="F127" s="41" t="str">
        <x:v>Hanukkah gifts、蓝白银装饰、menorah主题小礼品</x:v>
      </x:c>
      <x:c r="G127" s="41" t="str">
        <x:v>2026-08-06 ~ 2026-09-05：先看历史销量、库存/FBA承接、是否需要改Listing。</x:v>
      </x:c>
      <x:c r="H127" s="41" t="str">
        <x:v>2026-10-05 ~ 2026-10-20：广告结构、关键词/ASIN、标题主图必须基本到位。</x:v>
      </x:c>
      <x:c r="I127" s="41" t="str">
        <x:v>2026-11-13 ~ 2026-12-15：头部SKU每日看，过后及时降投/清尾。</x:v>
      </x:c>
      <x:c r="J127" s="41" t="str">
        <x:f>IF(AND('今日提醒'!$B$2&gt;=$L127,'今日提醒'!$B$2&lt;=$M127,$L127=$M127),"节点当日",IF(AND('今日提醒'!$B$2&gt;=$L127,'今日提醒'!$B$2&lt;=$M127,'今日提醒'!$B$2&gt;$S127),"收尾下滑",IF(AND('今日提醒'!$B$2&gt;=$L127,'今日提醒'!$B$2&lt;=$M127),"节点进行中",IF(AND('今日提醒'!$B$2&gt;$M127,'今日提醒'!$B$2&lt;=$S127),"节后清尾",IF(AND('今日提醒'!$B$2&gt;=$R127,'今日提醒'!$B$2&lt;=$S127),"高频跟进",IF(AND('今日提醒'!$B$2&gt;=($R127-14),'今日提醒'!$B$2&lt;$R127,'今日提醒'!$B$2&lt;$L127),"临近高频",IF(AND(OR($A127="Chinese New Year",$A127="Super Bowl",$A127="Valentine's Day",$A127="Valentine Week",$A127="St. Patrick's Day",$A127="Easter",$A127="Graduation Season",$A127="Prom Season",$A127="Teacher Appreciation Week",$A127="Mother's Day",$A127="Memorial Day",$A127="Father's Day",$A127="Independence Day",$A127="Back-to-School Season",$A127="Labor Day",$A127="Halloween",$A127="Thanksgiving",$A127="Black Friday / Cyber Monday",$A127="Christmas",$A127="New Year's Eve / New Year Season"),'今日提醒'!$B$2&gt;=($R127-30),'今日提醒'!$B$2&lt;$R127,'今日提醒'!$B$2&lt;$L127),"大节气提前",IF(AND('今日提醒'!$B$2&gt;=$P127,'今日提醒'!$B$2&lt;=$Q127),"二次排查",IF(AND(OR($A127="Chinese New Year",$A127="Super Bowl",$A127="Valentine's Day",$A127="Valentine Week",$A127="St. Patrick's Day",$A127="Easter",$A127="Graduation Season",$A127="Prom Season",$A127="Teacher Appreciation Week",$A127="Mother's Day",$A127="Memorial Day",$A127="Father's Day",$A127="Independence Day",$A127="Back-to-School Season",$A127="Labor Day",$A127="Halloween",$A127="Thanksgiving",$A127="Black Friday / Cyber Monday",$A127="Christmas",$A127="New Year's Eve / New Year Season"),'今日提醒'!$B$2&gt;=($P127-14),'今日提醒'!$B$2&lt;$P127,'今日提醒'!$B$2&lt;$L127),"临近二次",IF(AND('今日提醒'!$B$2&gt;=$N127,'今日提醒'!$B$2&lt;=$O127),"一次排查",IF('今日提醒'!$B$2&lt;$N127,"未到排查",IF('今日提醒'!$B$2&lt;$L127,"等待下一窗口","已过"))))))))))))</x:f>
        <x:v>未到排查</x:v>
      </x:c>
      <x:c r="K127" s="41" t="str">
        <x:f>IF($J127="收尾下滑","主购买/高频窗口已过，流量可能走弱：不要盲目加预算或新建组；优先看库存压力、ACOS、广告占比、自然单，仅保留高转化词，计算清货/留仓。",IF($J127="节后清尾","节点已过但仍在清尾窗口：控低效词、降无效预算，复盘转化词；库存重则算清货，库存轻则吃完尾流。",IF($J127="节点当日","今天就是节点当日：优先看转化、库存承接、广告花费和尾流风险；可以吃最后一波有效流量，但不要再大范围新建或盲目加预算。",IF($J127="节点进行中","当前在节点/销售窗口内：这是进行中，不是预热；重点看销量、库存承接、广告花费、转化和是否已出现流量下滑。",IF($J127="高频跟进","今天在高频跟进窗口：头部SKU每日看；重点看高库存、高花费、断货风险和ACOS。",IF($J127="临近高频","高频窗口即将开始：今天先预查广告结构、关键词/ASIN、Listing埋词、库存承接和预算，避免临近节点再补。",IF($J127="大节气提前","大节气提前窗口：不要等高频当天再动；今天先锁定主推SKU、库存承接、Listing节日词、广告结构和预算上限，低相关/低库存产品不硬推。",IF($J127="二次排查","今天在二次排查窗口：补广告结构、关键词/ASIN、预算和Listing埋词。",IF($J127="临近二次","大节气二次排查即将开始：提前准备词/ASIN/图片/价格/促销，不等窗口当天才补结构。",IF($J127="一次排查","今天在一次排查窗口：先筛SKU，看历史动销、库存、利润和Listing匹配。",IF($J127="未到排查","暂不处理，等一次排查窗口。",IF($J127="等待下一窗口","暂不在排查窗口；等高频或节点开始，除非有库存/广告异常。","已过：复盘、降投、清尾或沉淀明年节点。"))))))))))))</x:f>
        <x:v>暂不处理，等一次排查窗口。</x:v>
      </x:c>
      <x:c r="L127" s="42" t="n">
        <x:v>46360</x:v>
      </x:c>
      <x:c r="M127" s="42" t="n">
        <x:v>46368</x:v>
      </x:c>
      <x:c r="N127" s="42" t="n">
        <x:v>46240</x:v>
      </x:c>
      <x:c r="O127" s="42" t="n">
        <x:v>46270</x:v>
      </x:c>
      <x:c r="P127" s="42" t="n">
        <x:v>46300</x:v>
      </x:c>
      <x:c r="Q127" s="42" t="n">
        <x:v>46315</x:v>
      </x:c>
      <x:c r="R127" s="42" t="n">
        <x:v>46339</x:v>
      </x:c>
      <x:c r="S127" s="42" t="n">
        <x:v>46371</x:v>
      </x:c>
      <x:c r="T127" s="43" t="n">
        <x:f>$L127-'今日提醒'!$B$2</x:f>
        <x:v>193</x:v>
      </x:c>
      <x:c r="U127" s="74" t="n">
        <x:f>IF(OR($J127="收尾下滑",$J127="节后清尾",$J127="节点当日",$J127="节点进行中",$J127="高频跟进",$J127="临近高频",$J127="大节气提前",$J127="二次排查",$J127="临近二次",$J127="一次排查"),IF($J127="收尾下滑",1,IF($J127="节后清尾",2,IF($J127="节点当日",3,IF($J127="节点进行中",4,IF($J127="高频跟进",5,IF($J127="临近高频",6,IF($J127="大节气提前",7,IF($J127="二次排查",8,IF($J127="临近二次",9,10)))))))))*100000+ROW(),99999999+ROW())</x:f>
        <x:v>100000126</x:v>
      </x:c>
      <x:c r="V127" s="15" t="str">
        <x:f>IF(OR($J127="收尾下滑",$J127="节后清尾"),"风险/止损",IF($J127="节点当日","机会/当日冲刺",IF($J127="节点进行中","机会/进行中",IF($J127="高频跟进","机会/高频",IF($J127="大节气提前","机会/大节气提前",IF(OR($J127="临近高频",$J127="临近二次",$J127="二次排查",$J127="一次排查"),"机会/预热","非今日"))))))</x:f>
        <x:v>非今日</x:v>
      </x:c>
      <x:c r="W127" s="15" t="str">
        <x:f>IF($J127="收尾下滑","控投/清尾/算留仓",IF($J127="节后清尾","节后降投/复盘",IF($J127="节点当日","当日冲刺/控尾流",IF($J127="节点进行中","转化监控/看趋势",IF($J127="高频跟进","放量+控ACOS",IF($J127="大节气提前","提前锁结构/预算",IF($J127="临近高频","预查结构/埋词",IF($J127="临近二次","提前补结构/埋词",IF($J127="二次排查","补结构/补词",IF($J127="一次排查","筛SKU/核库存","暂无"))))))))))</x:f>
        <x:v>暂无</x:v>
      </x:c>
      <x:c r="X127" s="15" t="str">
        <x:f>IF(AND('今日提醒'!$B$2&gt;=$L127,'今日提醒'!$B$2&lt;=$M127,$L127=$M127),"节点当日：不是预热",IF(AND('今日提醒'!$B$2&gt;=$L127,'今日提醒'!$B$2&lt;=$M127,'今日提醒'!$B$2&gt;$S127),"高频已结束但销售窗口未结束：疑似尾期/下滑",IF(AND('今日提醒'!$B$2&gt;$M127,'今日提醒'!$B$2&lt;=$S127),"节点已过但仍在清尾窗口",IF($J127="大节气提前","大节气高频前30天：提前进入主推准备",IF($J127="临近二次","大节气二次排查前14天：提前准备","")))))</x:f>
      </x:c>
    </x:row>
    <x:row r="128" ht="58" hidden="0" customHeight="1">
      <x:c r="A128" s="41" t="str">
        <x:v>Winter Products Season</x:v>
      </x:c>
      <x:c r="B128" s="41" t="str">
        <x:v>冬季产品季</x:v>
      </x:c>
      <x:c r="C128" s="41" t="str">
        <x:v>冬季保暖、家居、节日、室内活动产品的集中需求期。</x:v>
      </x:c>
      <x:c r="D128" s="41" t="str">
        <x:v>2026-10-01 ~ 2027-02-28</x:v>
      </x:c>
      <x:c r="E128" s="41" t="str">
        <x:v>区间变动：跨年冬季品类窗口</x:v>
      </x:c>
      <x:c r="F128" s="41" t="str">
        <x:v>冬季保暖、家居、节日、室内活动、snow/winter主题产品</x:v>
      </x:c>
      <x:c r="G128" s="41" t="str">
        <x:v>2026-07-03 ~ 2026-07-17：看历史动销起点、库存承接、Listing是否匹配。</x:v>
      </x:c>
      <x:c r="H128" s="41" t="str">
        <x:v>2026-08-17 ~ 2026-08-31：完成关键词/ASIN/主图标题检查，低预算轻测。</x:v>
      </x:c>
      <x:c r="I128" s="41" t="str">
        <x:v>2026-09-17 ~ 2026-12-15：头部SKU每日看，普通SKU每周2次。</x:v>
      </x:c>
      <x:c r="J128" s="41" t="str">
        <x:f>IF(AND('今日提醒'!$B$2&gt;=$L128,'今日提醒'!$B$2&lt;=$M128,$L128=$M128),"节点当日",IF(AND('今日提醒'!$B$2&gt;=$L128,'今日提醒'!$B$2&lt;=$M128,'今日提醒'!$B$2&gt;$S128),"收尾下滑",IF(AND('今日提醒'!$B$2&gt;=$L128,'今日提醒'!$B$2&lt;=$M128),"节点进行中",IF(AND('今日提醒'!$B$2&gt;$M128,'今日提醒'!$B$2&lt;=$S128),"节后清尾",IF(AND('今日提醒'!$B$2&gt;=$R128,'今日提醒'!$B$2&lt;=$S128),"高频跟进",IF(AND('今日提醒'!$B$2&gt;=($R128-14),'今日提醒'!$B$2&lt;$R128,'今日提醒'!$B$2&lt;$L128),"临近高频",IF(AND(OR($A128="Chinese New Year",$A128="Super Bowl",$A128="Valentine's Day",$A128="Valentine Week",$A128="St. Patrick's Day",$A128="Easter",$A128="Graduation Season",$A128="Prom Season",$A128="Teacher Appreciation Week",$A128="Mother's Day",$A128="Memorial Day",$A128="Father's Day",$A128="Independence Day",$A128="Back-to-School Season",$A128="Labor Day",$A128="Halloween",$A128="Thanksgiving",$A128="Black Friday / Cyber Monday",$A128="Christmas",$A128="New Year's Eve / New Year Season"),'今日提醒'!$B$2&gt;=($R128-30),'今日提醒'!$B$2&lt;$R128,'今日提醒'!$B$2&lt;$L128),"大节气提前",IF(AND('今日提醒'!$B$2&gt;=$P128,'今日提醒'!$B$2&lt;=$Q128),"二次排查",IF(AND(OR($A128="Chinese New Year",$A128="Super Bowl",$A128="Valentine's Day",$A128="Valentine Week",$A128="St. Patrick's Day",$A128="Easter",$A128="Graduation Season",$A128="Prom Season",$A128="Teacher Appreciation Week",$A128="Mother's Day",$A128="Memorial Day",$A128="Father's Day",$A128="Independence Day",$A128="Back-to-School Season",$A128="Labor Day",$A128="Halloween",$A128="Thanksgiving",$A128="Black Friday / Cyber Monday",$A128="Christmas",$A128="New Year's Eve / New Year Season"),'今日提醒'!$B$2&gt;=($P128-14),'今日提醒'!$B$2&lt;$P128,'今日提醒'!$B$2&lt;$L128),"临近二次",IF(AND('今日提醒'!$B$2&gt;=$N128,'今日提醒'!$B$2&lt;=$O128),"一次排查",IF('今日提醒'!$B$2&lt;$N128,"未到排查",IF('今日提醒'!$B$2&lt;$L128,"等待下一窗口","已过"))))))))))))</x:f>
        <x:v>未到排查</x:v>
      </x:c>
      <x:c r="K128" s="41" t="str">
        <x:f>IF($J128="收尾下滑","主购买/高频窗口已过，流量可能走弱：不要盲目加预算或新建组；优先看库存压力、ACOS、广告占比、自然单，仅保留高转化词，计算清货/留仓。",IF($J128="节后清尾","节点已过但仍在清尾窗口：控低效词、降无效预算，复盘转化词；库存重则算清货，库存轻则吃完尾流。",IF($J128="节点当日","今天就是节点当日：优先看转化、库存承接、广告花费和尾流风险；可以吃最后一波有效流量，但不要再大范围新建或盲目加预算。",IF($J128="节点进行中","当前在节点/销售窗口内：这是进行中，不是预热；重点看销量、库存承接、广告花费、转化和是否已出现流量下滑。",IF($J128="高频跟进","今天在高频跟进窗口：头部SKU每日看；重点看高库存、高花费、断货风险和ACOS。",IF($J128="临近高频","高频窗口即将开始：今天先预查广告结构、关键词/ASIN、Listing埋词、库存承接和预算，避免临近节点再补。",IF($J128="大节气提前","大节气提前窗口：不要等高频当天再动；今天先锁定主推SKU、库存承接、Listing节日词、广告结构和预算上限，低相关/低库存产品不硬推。",IF($J128="二次排查","今天在二次排查窗口：补广告结构、关键词/ASIN、预算和Listing埋词。",IF($J128="临近二次","大节气二次排查即将开始：提前准备词/ASIN/图片/价格/促销，不等窗口当天才补结构。",IF($J128="一次排查","今天在一次排查窗口：先筛SKU，看历史动销、库存、利润和Listing匹配。",IF($J128="未到排查","暂不处理，等一次排查窗口。",IF($J128="等待下一窗口","暂不在排查窗口；等高频或节点开始，除非有库存/广告异常。","已过：复盘、降投、清尾或沉淀明年节点。"))))))))))))</x:f>
        <x:v>暂不处理，等一次排查窗口。</x:v>
      </x:c>
      <x:c r="L128" s="42" t="n">
        <x:v>46296</x:v>
      </x:c>
      <x:c r="M128" s="42" t="n">
        <x:v>46446</x:v>
      </x:c>
      <x:c r="N128" s="42" t="n">
        <x:v>46206</x:v>
      </x:c>
      <x:c r="O128" s="42" t="n">
        <x:v>46220</x:v>
      </x:c>
      <x:c r="P128" s="42" t="n">
        <x:v>46251</x:v>
      </x:c>
      <x:c r="Q128" s="42" t="n">
        <x:v>46265</x:v>
      </x:c>
      <x:c r="R128" s="42" t="n">
        <x:v>46282</x:v>
      </x:c>
      <x:c r="S128" s="42" t="n">
        <x:v>46371</x:v>
      </x:c>
      <x:c r="T128" s="43" t="n">
        <x:f>$L128-'今日提醒'!$B$2</x:f>
        <x:v>129</x:v>
      </x:c>
      <x:c r="U128" s="74" t="n">
        <x:f>IF(OR($J128="收尾下滑",$J128="节后清尾",$J128="节点当日",$J128="节点进行中",$J128="高频跟进",$J128="临近高频",$J128="大节气提前",$J128="二次排查",$J128="临近二次",$J128="一次排查"),IF($J128="收尾下滑",1,IF($J128="节后清尾",2,IF($J128="节点当日",3,IF($J128="节点进行中",4,IF($J128="高频跟进",5,IF($J128="临近高频",6,IF($J128="大节气提前",7,IF($J128="二次排查",8,IF($J128="临近二次",9,10)))))))))*100000+ROW(),99999999+ROW())</x:f>
        <x:v>100000127</x:v>
      </x:c>
      <x:c r="V128" s="15" t="str">
        <x:f>IF(OR($J128="收尾下滑",$J128="节后清尾"),"风险/止损",IF($J128="节点当日","机会/当日冲刺",IF($J128="节点进行中","机会/进行中",IF($J128="高频跟进","机会/高频",IF($J128="大节气提前","机会/大节气提前",IF(OR($J128="临近高频",$J128="临近二次",$J128="二次排查",$J128="一次排查"),"机会/预热","非今日"))))))</x:f>
        <x:v>非今日</x:v>
      </x:c>
      <x:c r="W128" s="15" t="str">
        <x:f>IF($J128="收尾下滑","控投/清尾/算留仓",IF($J128="节后清尾","节后降投/复盘",IF($J128="节点当日","当日冲刺/控尾流",IF($J128="节点进行中","转化监控/看趋势",IF($J128="高频跟进","放量+控ACOS",IF($J128="大节气提前","提前锁结构/预算",IF($J128="临近高频","预查结构/埋词",IF($J128="临近二次","提前补结构/埋词",IF($J128="二次排查","补结构/补词",IF($J128="一次排查","筛SKU/核库存","暂无"))))))))))</x:f>
        <x:v>暂无</x:v>
      </x:c>
      <x:c r="X128" s="15" t="str">
        <x:f>IF(AND('今日提醒'!$B$2&gt;=$L128,'今日提醒'!$B$2&lt;=$M128,$L128=$M128),"节点当日：不是预热",IF(AND('今日提醒'!$B$2&gt;=$L128,'今日提醒'!$B$2&lt;=$M128,'今日提醒'!$B$2&gt;$S128),"高频已结束但销售窗口未结束：疑似尾期/下滑",IF(AND('今日提醒'!$B$2&gt;$M128,'今日提醒'!$B$2&lt;=$S128),"节点已过但仍在清尾窗口",IF($J128="大节气提前","大节气高频前30天：提前进入主推准备",IF($J128="临近二次","大节气二次排查前14天：提前准备","")))))</x:f>
      </x:c>
    </x:row>
    <x:row r="129" ht="58" hidden="0" customHeight="1">
      <x:c r="A129" s="41" t="str">
        <x:v>Kwanzaa</x:v>
      </x:c>
      <x:c r="B129" s="41" t="str">
        <x:v>宽扎节</x:v>
      </x:c>
      <x:c r="C129" s="41" t="str">
        <x:v>非裔美国文化节日，强调团结、文化与家庭礼赠。</x:v>
      </x:c>
      <x:c r="D129" s="41" t="str">
        <x:v>2026-12-26</x:v>
      </x:c>
      <x:c r="E129" s="41" t="str">
        <x:v>固定区间</x:v>
      </x:c>
      <x:c r="F129" s="41" t="str">
        <x:v>Kwanzaa文化主题礼品、家庭装饰、祝福卡；商业化需克制</x:v>
      </x:c>
      <x:c r="G129" s="41" t="str">
        <x:v>2026-09-27 ~ 2026-10-12：先确认产品真实匹配，避免硬蹭敏感议题。</x:v>
      </x:c>
      <x:c r="H129" s="41" t="str">
        <x:v>2026-11-11 ~ 2026-11-21：检查图片/文案/关键词是否克制且合规。</x:v>
      </x:c>
      <x:c r="I129" s="41" t="str">
        <x:v>2026-12-12 ~ 2026-12-26：每2-3天看；表现差或表达风险高就停。</x:v>
      </x:c>
      <x:c r="J129" s="41" t="str">
        <x:f>IF(AND('今日提醒'!$B$2&gt;=$L129,'今日提醒'!$B$2&lt;=$M129,$L129=$M129),"节点当日",IF(AND('今日提醒'!$B$2&gt;=$L129,'今日提醒'!$B$2&lt;=$M129,'今日提醒'!$B$2&gt;$S129),"收尾下滑",IF(AND('今日提醒'!$B$2&gt;=$L129,'今日提醒'!$B$2&lt;=$M129),"节点进行中",IF(AND('今日提醒'!$B$2&gt;$M129,'今日提醒'!$B$2&lt;=$S129),"节后清尾",IF(AND('今日提醒'!$B$2&gt;=$R129,'今日提醒'!$B$2&lt;=$S129),"高频跟进",IF(AND('今日提醒'!$B$2&gt;=($R129-14),'今日提醒'!$B$2&lt;$R129,'今日提醒'!$B$2&lt;$L129),"临近高频",IF(AND(OR($A129="Chinese New Year",$A129="Super Bowl",$A129="Valentine's Day",$A129="Valentine Week",$A129="St. Patrick's Day",$A129="Easter",$A129="Graduation Season",$A129="Prom Season",$A129="Teacher Appreciation Week",$A129="Mother's Day",$A129="Memorial Day",$A129="Father's Day",$A129="Independence Day",$A129="Back-to-School Season",$A129="Labor Day",$A129="Halloween",$A129="Thanksgiving",$A129="Black Friday / Cyber Monday",$A129="Christmas",$A129="New Year's Eve / New Year Season"),'今日提醒'!$B$2&gt;=($R129-30),'今日提醒'!$B$2&lt;$R129,'今日提醒'!$B$2&lt;$L129),"大节气提前",IF(AND('今日提醒'!$B$2&gt;=$P129,'今日提醒'!$B$2&lt;=$Q129),"二次排查",IF(AND(OR($A129="Chinese New Year",$A129="Super Bowl",$A129="Valentine's Day",$A129="Valentine Week",$A129="St. Patrick's Day",$A129="Easter",$A129="Graduation Season",$A129="Prom Season",$A129="Teacher Appreciation Week",$A129="Mother's Day",$A129="Memorial Day",$A129="Father's Day",$A129="Independence Day",$A129="Back-to-School Season",$A129="Labor Day",$A129="Halloween",$A129="Thanksgiving",$A129="Black Friday / Cyber Monday",$A129="Christmas",$A129="New Year's Eve / New Year Season"),'今日提醒'!$B$2&gt;=($P129-14),'今日提醒'!$B$2&lt;$P129,'今日提醒'!$B$2&lt;$L129),"临近二次",IF(AND('今日提醒'!$B$2&gt;=$N129,'今日提醒'!$B$2&lt;=$O129),"一次排查",IF('今日提醒'!$B$2&lt;$N129,"未到排查",IF('今日提醒'!$B$2&lt;$L129,"等待下一窗口","已过"))))))))))))</x:f>
        <x:v>未到排查</x:v>
      </x:c>
      <x:c r="K129" s="41" t="str">
        <x:f>IF($J129="收尾下滑","主购买/高频窗口已过，流量可能走弱：不要盲目加预算或新建组；优先看库存压力、ACOS、广告占比、自然单，仅保留高转化词，计算清货/留仓。",IF($J129="节后清尾","节点已过但仍在清尾窗口：控低效词、降无效预算，复盘转化词；库存重则算清货，库存轻则吃完尾流。",IF($J129="节点当日","今天就是节点当日：优先看转化、库存承接、广告花费和尾流风险；可以吃最后一波有效流量，但不要再大范围新建或盲目加预算。",IF($J129="节点进行中","当前在节点/销售窗口内：这是进行中，不是预热；重点看销量、库存承接、广告花费、转化和是否已出现流量下滑。",IF($J129="高频跟进","今天在高频跟进窗口：头部SKU每日看；重点看高库存、高花费、断货风险和ACOS。",IF($J129="临近高频","高频窗口即将开始：今天先预查广告结构、关键词/ASIN、Listing埋词、库存承接和预算，避免临近节点再补。",IF($J129="大节气提前","大节气提前窗口：不要等高频当天再动；今天先锁定主推SKU、库存承接、Listing节日词、广告结构和预算上限，低相关/低库存产品不硬推。",IF($J129="二次排查","今天在二次排查窗口：补广告结构、关键词/ASIN、预算和Listing埋词。",IF($J129="临近二次","大节气二次排查即将开始：提前准备词/ASIN/图片/价格/促销，不等窗口当天才补结构。",IF($J129="一次排查","今天在一次排查窗口：先筛SKU，看历史动销、库存、利润和Listing匹配。",IF($J129="未到排查","暂不处理，等一次排查窗口。",IF($J129="等待下一窗口","暂不在排查窗口；等高频或节点开始，除非有库存/广告异常。","已过：复盘、降投、清尾或沉淀明年节点。"))))))))))))</x:f>
        <x:v>暂不处理，等一次排查窗口。</x:v>
      </x:c>
      <x:c r="L129" s="42" t="n">
        <x:v>46382</x:v>
      </x:c>
      <x:c r="M129" s="42" t="n">
        <x:v>46382</x:v>
      </x:c>
      <x:c r="N129" s="42" t="n">
        <x:v>46292</x:v>
      </x:c>
      <x:c r="O129" s="42" t="n">
        <x:v>46307</x:v>
      </x:c>
      <x:c r="P129" s="42" t="n">
        <x:v>46337</x:v>
      </x:c>
      <x:c r="Q129" s="42" t="n">
        <x:v>46347</x:v>
      </x:c>
      <x:c r="R129" s="42" t="n">
        <x:v>46368</x:v>
      </x:c>
      <x:c r="S129" s="42" t="n">
        <x:v>46382</x:v>
      </x:c>
      <x:c r="T129" s="43" t="n">
        <x:f>$L129-'今日提醒'!$B$2</x:f>
        <x:v>215</x:v>
      </x:c>
      <x:c r="U129" s="74" t="n">
        <x:f>IF(OR($J129="收尾下滑",$J129="节后清尾",$J129="节点当日",$J129="节点进行中",$J129="高频跟进",$J129="临近高频",$J129="大节气提前",$J129="二次排查",$J129="临近二次",$J129="一次排查"),IF($J129="收尾下滑",1,IF($J129="节后清尾",2,IF($J129="节点当日",3,IF($J129="节点进行中",4,IF($J129="高频跟进",5,IF($J129="临近高频",6,IF($J129="大节气提前",7,IF($J129="二次排查",8,IF($J129="临近二次",9,10)))))))))*100000+ROW(),99999999+ROW())</x:f>
        <x:v>100000128</x:v>
      </x:c>
      <x:c r="V129" s="15" t="str">
        <x:f>IF(OR($J129="收尾下滑",$J129="节后清尾"),"风险/止损",IF($J129="节点当日","机会/当日冲刺",IF($J129="节点进行中","机会/进行中",IF($J129="高频跟进","机会/高频",IF($J129="大节气提前","机会/大节气提前",IF(OR($J129="临近高频",$J129="临近二次",$J129="二次排查",$J129="一次排查"),"机会/预热","非今日"))))))</x:f>
        <x:v>非今日</x:v>
      </x:c>
      <x:c r="W129" s="15" t="str">
        <x:f>IF($J129="收尾下滑","控投/清尾/算留仓",IF($J129="节后清尾","节后降投/复盘",IF($J129="节点当日","当日冲刺/控尾流",IF($J129="节点进行中","转化监控/看趋势",IF($J129="高频跟进","放量+控ACOS",IF($J129="大节气提前","提前锁结构/预算",IF($J129="临近高频","预查结构/埋词",IF($J129="临近二次","提前补结构/埋词",IF($J129="二次排查","补结构/补词",IF($J129="一次排查","筛SKU/核库存","暂无"))))))))))</x:f>
        <x:v>暂无</x:v>
      </x:c>
      <x:c r="X129" s="15" t="str">
        <x:f>IF(AND('今日提醒'!$B$2&gt;=$L129,'今日提醒'!$B$2&lt;=$M129,$L129=$M129),"节点当日：不是预热",IF(AND('今日提醒'!$B$2&gt;=$L129,'今日提醒'!$B$2&lt;=$M129,'今日提醒'!$B$2&gt;$S129),"高频已结束但销售窗口未结束：疑似尾期/下滑",IF(AND('今日提醒'!$B$2&gt;$M129,'今日提醒'!$B$2&lt;=$S129),"节点已过但仍在清尾窗口",IF($J129="大节气提前","大节气高频前30天：提前进入主推准备",IF($J129="临近二次","大节气二次排查前14天：提前准备","")))))</x:f>
      </x:c>
    </x:row>
    <x:row r="130" ht="58" hidden="0" customHeight="1">
      <x:c r="A130" s="41" t="str">
        <x:v>New Year's Eve / New Year Season</x:v>
      </x:c>
      <x:c r="B130" s="41" t="str">
        <x:v>跨年/新年季</x:v>
      </x:c>
      <x:c r="C130" s="41" t="str">
        <x:v>跨年派对、目标计划、祝福礼物与新年装饰窗口。</x:v>
      </x:c>
      <x:c r="D130" s="41" t="str">
        <x:v>2026-12-15 ~ 2027-01-05</x:v>
      </x:c>
      <x:c r="E130" s="41" t="str">
        <x:v>固定日期+区间：跨年销售窗口</x:v>
      </x:c>
      <x:c r="F130" s="41" t="str">
        <x:v>party favors、新年祝福卡、目标计划/affirmation产品、跨年装饰</x:v>
      </x:c>
      <x:c r="G130" s="41" t="str">
        <x:v>2026-09-16 ~ 2026-09-30：看历史动销起点、库存承接、Listing是否匹配。</x:v>
      </x:c>
      <x:c r="H130" s="41" t="str">
        <x:v>2026-10-31 ~ 2026-11-14：完成关键词/ASIN/主图标题检查，低预算轻测。</x:v>
      </x:c>
      <x:c r="I130" s="41" t="str">
        <x:v>2026-12-01 ~ 2026-12-25：头部SKU每日看，普通SKU每周2次。</x:v>
      </x:c>
      <x:c r="J130" s="41" t="str">
        <x:f>IF(AND('今日提醒'!$B$2&gt;=$L130,'今日提醒'!$B$2&lt;=$M130,$L130=$M130),"节点当日",IF(AND('今日提醒'!$B$2&gt;=$L130,'今日提醒'!$B$2&lt;=$M130,'今日提醒'!$B$2&gt;$S130),"收尾下滑",IF(AND('今日提醒'!$B$2&gt;=$L130,'今日提醒'!$B$2&lt;=$M130),"节点进行中",IF(AND('今日提醒'!$B$2&gt;$M130,'今日提醒'!$B$2&lt;=$S130),"节后清尾",IF(AND('今日提醒'!$B$2&gt;=$R130,'今日提醒'!$B$2&lt;=$S130),"高频跟进",IF(AND('今日提醒'!$B$2&gt;=($R130-14),'今日提醒'!$B$2&lt;$R130,'今日提醒'!$B$2&lt;$L130),"临近高频",IF(AND(OR($A130="Chinese New Year",$A130="Super Bowl",$A130="Valentine's Day",$A130="Valentine Week",$A130="St. Patrick's Day",$A130="Easter",$A130="Graduation Season",$A130="Prom Season",$A130="Teacher Appreciation Week",$A130="Mother's Day",$A130="Memorial Day",$A130="Father's Day",$A130="Independence Day",$A130="Back-to-School Season",$A130="Labor Day",$A130="Halloween",$A130="Thanksgiving",$A130="Black Friday / Cyber Monday",$A130="Christmas",$A130="New Year's Eve / New Year Season"),'今日提醒'!$B$2&gt;=($R130-30),'今日提醒'!$B$2&lt;$R130,'今日提醒'!$B$2&lt;$L130),"大节气提前",IF(AND('今日提醒'!$B$2&gt;=$P130,'今日提醒'!$B$2&lt;=$Q130),"二次排查",IF(AND(OR($A130="Chinese New Year",$A130="Super Bowl",$A130="Valentine's Day",$A130="Valentine Week",$A130="St. Patrick's Day",$A130="Easter",$A130="Graduation Season",$A130="Prom Season",$A130="Teacher Appreciation Week",$A130="Mother's Day",$A130="Memorial Day",$A130="Father's Day",$A130="Independence Day",$A130="Back-to-School Season",$A130="Labor Day",$A130="Halloween",$A130="Thanksgiving",$A130="Black Friday / Cyber Monday",$A130="Christmas",$A130="New Year's Eve / New Year Season"),'今日提醒'!$B$2&gt;=($P130-14),'今日提醒'!$B$2&lt;$P130,'今日提醒'!$B$2&lt;$L130),"临近二次",IF(AND('今日提醒'!$B$2&gt;=$N130,'今日提醒'!$B$2&lt;=$O130),"一次排查",IF('今日提醒'!$B$2&lt;$N130,"未到排查",IF('今日提醒'!$B$2&lt;$L130,"等待下一窗口","已过"))))))))))))</x:f>
        <x:v>未到排查</x:v>
      </x:c>
      <x:c r="K130" s="41" t="str">
        <x:f>IF($J130="收尾下滑","主购买/高频窗口已过，流量可能走弱：不要盲目加预算或新建组；优先看库存压力、ACOS、广告占比、自然单，仅保留高转化词，计算清货/留仓。",IF($J130="节后清尾","节点已过但仍在清尾窗口：控低效词、降无效预算，复盘转化词；库存重则算清货，库存轻则吃完尾流。",IF($J130="节点当日","今天就是节点当日：优先看转化、库存承接、广告花费和尾流风险；可以吃最后一波有效流量，但不要再大范围新建或盲目加预算。",IF($J130="节点进行中","当前在节点/销售窗口内：这是进行中，不是预热；重点看销量、库存承接、广告花费、转化和是否已出现流量下滑。",IF($J130="高频跟进","今天在高频跟进窗口：头部SKU每日看；重点看高库存、高花费、断货风险和ACOS。",IF($J130="临近高频","高频窗口即将开始：今天先预查广告结构、关键词/ASIN、Listing埋词、库存承接和预算，避免临近节点再补。",IF($J130="大节气提前","大节气提前窗口：不要等高频当天再动；今天先锁定主推SKU、库存承接、Listing节日词、广告结构和预算上限，低相关/低库存产品不硬推。",IF($J130="二次排查","今天在二次排查窗口：补广告结构、关键词/ASIN、预算和Listing埋词。",IF($J130="临近二次","大节气二次排查即将开始：提前准备词/ASIN/图片/价格/促销，不等窗口当天才补结构。",IF($J130="一次排查","今天在一次排查窗口：先筛SKU，看历史动销、库存、利润和Listing匹配。",IF($J130="未到排查","暂不处理，等一次排查窗口。",IF($J130="等待下一窗口","暂不在排查窗口；等高频或节点开始，除非有库存/广告异常。","已过：复盘、降投、清尾或沉淀明年节点。"))))))))))))</x:f>
        <x:v>暂不处理，等一次排查窗口。</x:v>
      </x:c>
      <x:c r="L130" s="42" t="n">
        <x:v>46371</x:v>
      </x:c>
      <x:c r="M130" s="42" t="n">
        <x:v>46392</x:v>
      </x:c>
      <x:c r="N130" s="42" t="n">
        <x:v>46281</x:v>
      </x:c>
      <x:c r="O130" s="42" t="n">
        <x:v>46295</x:v>
      </x:c>
      <x:c r="P130" s="42" t="n">
        <x:v>46326</x:v>
      </x:c>
      <x:c r="Q130" s="42" t="n">
        <x:v>46340</x:v>
      </x:c>
      <x:c r="R130" s="42" t="n">
        <x:v>46357</x:v>
      </x:c>
      <x:c r="S130" s="42" t="n">
        <x:v>46381</x:v>
      </x:c>
      <x:c r="T130" s="43" t="n">
        <x:f>$L130-'今日提醒'!$B$2</x:f>
        <x:v>204</x:v>
      </x:c>
      <x:c r="U130" s="74" t="n">
        <x:f>IF(OR($J130="收尾下滑",$J130="节后清尾",$J130="节点当日",$J130="节点进行中",$J130="高频跟进",$J130="临近高频",$J130="大节气提前",$J130="二次排查",$J130="临近二次",$J130="一次排查"),IF($J130="收尾下滑",1,IF($J130="节后清尾",2,IF($J130="节点当日",3,IF($J130="节点进行中",4,IF($J130="高频跟进",5,IF($J130="临近高频",6,IF($J130="大节气提前",7,IF($J130="二次排查",8,IF($J130="临近二次",9,10)))))))))*100000+ROW(),99999999+ROW())</x:f>
        <x:v>100000129</x:v>
      </x:c>
      <x:c r="V130" s="15" t="str">
        <x:f>IF(OR($J130="收尾下滑",$J130="节后清尾"),"风险/止损",IF($J130="节点当日","机会/当日冲刺",IF($J130="节点进行中","机会/进行中",IF($J130="高频跟进","机会/高频",IF($J130="大节气提前","机会/大节气提前",IF(OR($J130="临近高频",$J130="临近二次",$J130="二次排查",$J130="一次排查"),"机会/预热","非今日"))))))</x:f>
        <x:v>非今日</x:v>
      </x:c>
      <x:c r="W130" s="15" t="str">
        <x:f>IF($J130="收尾下滑","控投/清尾/算留仓",IF($J130="节后清尾","节后降投/复盘",IF($J130="节点当日","当日冲刺/控尾流",IF($J130="节点进行中","转化监控/看趋势",IF($J130="高频跟进","放量+控ACOS",IF($J130="大节气提前","提前锁结构/预算",IF($J130="临近高频","预查结构/埋词",IF($J130="临近二次","提前补结构/埋词",IF($J130="二次排查","补结构/补词",IF($J130="一次排查","筛SKU/核库存","暂无"))))))))))</x:f>
        <x:v>暂无</x:v>
      </x:c>
      <x:c r="X130" s="15" t="str">
        <x:f>IF(AND('今日提醒'!$B$2&gt;=$L130,'今日提醒'!$B$2&lt;=$M130,$L130=$M130),"节点当日：不是预热",IF(AND('今日提醒'!$B$2&gt;=$L130,'今日提醒'!$B$2&lt;=$M130,'今日提醒'!$B$2&gt;$S130),"高频已结束但销售窗口未结束：疑似尾期/下滑",IF(AND('今日提醒'!$B$2&gt;$M130,'今日提醒'!$B$2&lt;=$S130),"节点已过但仍在清尾窗口",IF($J130="大节气提前","大节气高频前30天：提前进入主推准备",IF($J130="临近二次","大节气二次排查前14天：提前准备","")))))</x:f>
      </x:c>
    </x:row>
  </x:sheetData>
  <x:conditionalFormatting sqref="D2:D130">
    <x:cfRule type="expression" dxfId="0" priority="1">
      <x:formula>ISNUMBER(SEARCH("每年变动",D2))</x:formula>
    </x:cfRule>
    <x:cfRule type="expression" dxfId="1" priority="2">
      <x:formula>ISNUMBER(SEARCH("口径需复核",D2))</x:formula>
    </x:cfRule>
    <x:cfRule type="expression" dxfId="2" priority="3">
      <x:formula>ISNUMBER(SEARCH("区间变动",D2))</x:formula>
    </x:cfRule>
  </x:conditionalFormatting>
  <x:conditionalFormatting sqref="A2:T130">
    <x:cfRule type="expression" dxfId="19" priority="4">
      <x:formula>AND(TODAY()&gt;=$N2,TODAY()&lt;=$O2,NOT(AND(TODAY()&gt;=$P2,TODAY()&lt;=$Q2)),NOT(AND(TODAY()&gt;=$R2,TODAY()&lt;=$S2)),NOT(AND(TODAY()&gt;=$L2,TODAY()&lt;=$M2)))</x:formula>
    </x:cfRule>
    <x:cfRule type="expression" dxfId="20" priority="5">
      <x:formula>AND(TODAY()&gt;=$P2,TODAY()&lt;=$Q2,NOT(AND(TODAY()&gt;=$R2,TODAY()&lt;=$S2)),NOT(AND(TODAY()&gt;=$L2,TODAY()&lt;=$M2)))</x:formula>
    </x:cfRule>
    <x:cfRule type="expression" dxfId="21" priority="6">
      <x:formula>AND(TODAY()&gt;=$R2,TODAY()&lt;=$S2,NOT(AND(TODAY()&gt;=$L2,TODAY()&lt;=$M2)))</x:formula>
    </x:cfRule>
    <x:cfRule type="expression" dxfId="22" priority="7">
      <x:formula>AND(TODAY()&gt;=$L2,TODAY()&lt;=$M2)</x:formula>
    </x:cfRule>
  </x:conditionalFormatting>
  <x:conditionalFormatting sqref="J2:J130">
    <x:cfRule type="expression" dxfId="53" priority="8">
      <x:formula>$J2="收尾下滑"</x:formula>
    </x:cfRule>
    <x:cfRule type="expression" dxfId="54" priority="9">
      <x:formula>$J2="节后清尾"</x:formula>
    </x:cfRule>
    <x:cfRule type="expression" dxfId="55" priority="10">
      <x:formula>$J2="节点进行中"</x:formula>
    </x:cfRule>
    <x:cfRule type="expression" dxfId="56" priority="11">
      <x:formula>$J2="高频跟进"</x:formula>
    </x:cfRule>
    <x:cfRule type="expression" dxfId="57" priority="12">
      <x:formula>$J2="临近高频"</x:formula>
    </x:cfRule>
    <x:cfRule type="expression" dxfId="58" priority="13">
      <x:formula>$J2="二次排查"</x:formula>
    </x:cfRule>
    <x:cfRule type="expression" dxfId="59" priority="14">
      <x:formula>$J2="一次排查"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42c3b3e92f6401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0" hidden="0" customWidth="1"/>
  </x:cols>
  <x:sheetData>
    <x:row r="1" ht="22" customHeight="1">
      <x:c r="A1" s="6" t="str">
        <x:v>说明</x:v>
      </x:c>
      <x:c r="B1" s="6" t="str">
        <x:v>来源/URL</x:v>
      </x:c>
    </x:row>
    <x:row r="2" ht="32" customHeight="1">
      <x:c r="A2" s="12" t="str">
        <x:v>主表按截图可见节点整理；明显为2024/2025单年日期的，统一改成“可复用规则 + 2026示例日期”。</x:v>
      </x:c>
      <x:c r="B2" s="12" t="str">
        <x:v>用户截图</x:v>
      </x:c>
    </x:row>
    <x:row r="3" ht="32" customHeight="1">
      <x:c r="A3" s="12" t="str">
        <x:v>标注“每年变动”的日期，代表每年具体日历日会变；广告/Listing规划应每年复核。</x:v>
      </x:c>
      <x:c r="B3" s="12" t="str">
        <x:v>本表整理规则</x:v>
      </x:c>
    </x:row>
    <x:row r="4" ht="32" customHeight="1">
      <x:c r="A4" s="12" t="str">
        <x:v>标注“区间变动”的节点，多为季节/开学/活动季，具体时间取决于学校、机构、地区或市场热度。</x:v>
      </x:c>
      <x:c r="B4" s="12" t="str">
        <x:v>本表整理规则</x:v>
      </x:c>
    </x:row>
    <x:row r="5" ht="32" customHeight="1">
      <x:c r="A5" s="12" t="str">
        <x:v>标注“口径需复核”的节点，截图里有记录但公开统一口径较弱，建议结合Amazon搜索量/站内热词二次确认。</x:v>
      </x:c>
      <x:c r="B5" s="12" t="str">
        <x:v>本表整理规则</x:v>
      </x:c>
    </x:row>
    <x:row r="6" ht="32" customHeight="1">
      <x:c r="A6" s="12" t="str">
        <x:v>National School Counseling Week：2026年2月2日-2月6日，且为2月第一个完整周。</x:v>
      </x:c>
      <x:c r="B6" s="12" t="str">
        <x:v>https://www.schoolcounselor.org/Events-Professional-Development/Events/National-School-Counseling-Week</x:v>
      </x:c>
    </x:row>
    <x:row r="7" ht="32" customHeight="1">
      <x:c r="A7" s="12" t="str">
        <x:v>School Social Work Week：2026年3月1日-3月7日，3月第一个完整周。</x:v>
      </x:c>
      <x:c r="B7" s="12" t="str">
        <x:v>https://www.sswaa.org/school-social-work-week</x:v>
      </x:c>
    </x:row>
    <x:row r="8" ht="32" customHeight="1">
      <x:c r="A8" s="12" t="str">
        <x:v>World Social Work Day：2026年3月17日。</x:v>
      </x:c>
      <x:c r="B8" s="12" t="str">
        <x:v>https://www.ifsw.org/social-work-action/world-social-work-day/</x:v>
      </x:c>
    </x:row>
    <x:row r="9" ht="32" customHeight="1">
      <x:c r="A9" s="12" t="str">
        <x:v>Patient Access Week：2026年4月5日-4月11日。</x:v>
      </x:c>
      <x:c r="B9" s="12" t="str">
        <x:v>https://www.naham.org/page/AccessWeek</x:v>
      </x:c>
    </x:row>
    <x:row r="10" ht="32" customHeight="1">
      <x:c r="A10" s="12" t="str">
        <x:v>National Volunteer Week：2026年4月19日-4月25日。</x:v>
      </x:c>
      <x:c r="B10" s="12" t="str">
        <x:v>https://www.pointsoflight.org/national-volunteer-week/</x:v>
      </x:c>
    </x:row>
    <x:row r="11" ht="32" customHeight="1">
      <x:c r="A11" s="12" t="str">
        <x:v>World Veterinary Day：2026年4月25日，4月最后一个星期六。</x:v>
      </x:c>
      <x:c r="B11" s="12" t="str">
        <x:v>https://worldvet.org/activities/world-veterinary-day/</x:v>
      </x:c>
    </x:row>
    <x:row r="12" ht="32" customHeight="1">
      <x:c r="A12" s="12" t="str">
        <x:v>Veterinary Receptionist Week：2026年4月19日-4月25日，4月最后一个完整周。</x:v>
      </x:c>
      <x:c r="B12" s="12" t="str">
        <x:v>https://www.veterinaryreceptionistweek.com/</x:v>
      </x:c>
    </x:row>
    <x:row r="13" ht="32" customHeight="1">
      <x:c r="A13" s="12" t="str">
        <x:v>Administrative Professionals Day：2026年4月22日。</x:v>
      </x:c>
      <x:c r="B13" s="12" t="str">
        <x:v>https://www.timeanddate.com/holidays/us/administrative-professionals-day</x:v>
      </x:c>
    </x:row>
    <x:row r="14" ht="32" customHeight="1">
      <x:c r="A14" s="12" t="str">
        <x:v>National Nurses Week：每年5月6日-5月12日；2026同样为5月6日-5月12日。</x:v>
      </x:c>
      <x:c r="B14" s="12" t="str">
        <x:v>https://pages.nursingworld.org/nursesweek26</x:v>
      </x:c>
    </x:row>
    <x:row r="15" ht="32" customHeight="1">
      <x:c r="A15" s="12" t="str">
        <x:v>CNA Week：2026年6月11日-6月17日。</x:v>
      </x:c>
      <x:c r="B15" s="12" t="str">
        <x:v>https://blog.nahcacna.org/cna-week/</x:v>
      </x:c>
    </x:row>
    <x:row r="16" ht="32" customHeight="1">
      <x:c r="A16" s="12" t="str">
        <x:v>Sterile Processing Week：2026年10月11日-10月17日。</x:v>
      </x:c>
      <x:c r="B16" s="12" t="str">
        <x:v>https://myhspa.org/resources/sterile-processing-week/</x:v>
      </x:c>
    </x:row>
    <x:row r="17" ht="32" customHeight="1">
      <x:c r="A17" s="12" t="str">
        <x:v>Medical Assistants Recognition Week：2026年10月19日-10月23日。</x:v>
      </x:c>
      <x:c r="B17" s="12" t="str">
        <x:v>https://www.aama-ntl.org/education-and-events/medical-assistants-recognition-week</x:v>
      </x:c>
    </x:row>
    <x:row r="18" ht="32" customHeight="1">
      <x:c r="A18" s="12" t="str">
        <x:v>National Pharmacy Week：2026年10月18日-10月24日。</x:v>
      </x:c>
      <x:c r="B18" s="12" t="str">
        <x:v>https://www.ashp.org/pharmacy-practice/resource-centers/public-relations/national-pharmacy-week</x:v>
      </x:c>
    </x:row>
    <x:row r="19" ht="32" customHeight="1">
      <x:c r="A19" s="12" t="str">
        <x:v>Respiratory Care Week：2026年10月25日-10月31日。</x:v>
      </x:c>
      <x:c r="B19" s="12" t="str">
        <x:v>https://www.aarc.org/events-and-programs/respiratory-care-week/</x:v>
      </x:c>
    </x:row>
    <x:row r="20" ht="32" customHeight="1">
      <x:c r="A20" s="12" t="str">
        <x:v>Nurse Practitioner Week：2026年11月8日-11月14日。</x:v>
      </x:c>
      <x:c r="B20" s="12" t="str">
        <x:v>https://www.aanp.org/about/about-the-american-association-of-nurse-practitioners-aanp/media/np-week</x:v>
      </x:c>
    </x:row>
    <x:row r="21" ht="32" customHeight="1">
      <x:c r="A21" s="12" t="str">
        <x:v>Perioperative Nurses Week：2026年11月8日-11月14日。</x:v>
      </x:c>
      <x:c r="B21" s="12" t="str">
        <x:v>https://www.aorn.org/events/perioperative-nurses-week</x:v>
      </x:c>
    </x:row>
    <x:row r="22" ht="32" customHeight="1">
      <x:c r="A22" s="12" t="str">
        <x:v>International Education Week：2026年11月16日-11月20日；由美国教育部/国务院联合倡议。</x:v>
      </x:c>
      <x:c r="B22" s="12" t="str">
        <x:v>https://www.ed.gov/about/initiatives/international-affairs/international-education-week</x:v>
      </x:c>
    </x:row>
    <x:row r="23" ht="32" customHeight="1">
      <x:c r="A23" s="12" t="str">
        <x:v>美国常见节日2026日期参考：Easter、Mother's Day、Father's Day、Thanksgiving等。</x:v>
      </x:c>
      <x:c r="B23" s="12" t="str">
        <x:v>https://www.timeanddate.com/calendar/?country=1</x:v>
      </x:c>
    </x:row>
    <x:row r="24" ht="32" customHeight="1">
      <x:c r="A24" s="12" t="str">
        <x:v>Diwali 2026：11月8日。</x:v>
      </x:c>
      <x:c r="B24" s="12" t="str">
        <x:v>https://www.timeanddate.com/holidays/us/diwali</x:v>
      </x:c>
    </x:row>
    <x:row r="25" ht="32" customHeight="1">
      <x:c r="A25" s="12" t="str">
        <x:v>Hanukkah 2026：12月4日-12月12日。</x:v>
      </x:c>
      <x:c r="B25" s="12" t="str">
        <x:v>https://www.chabad.org/holidays/chanukah/article_cdo/aid/671899/jewish/When-Is-Hanukkah-Chanukah-Celebrated-in-2025-2026-2027-2028-2029-and-2030.htm</x:v>
      </x:c>
    </x:row>
    <x:row r="26" ht="32" customHeight="1">
      <x:c r="A26" s="12" t="str">
        <x:v>Kwanzaa：每年12月26日-次年1月1日。</x:v>
      </x:c>
      <x:c r="B26" s="12" t="str">
        <x:v>https://www.timeanddate.com/holidays/us/kwanzaa</x:v>
      </x:c>
    </x:row>
    <x:row r="27" ht="32" customHeight="1">
      <x:c r="A27" s="12" t="str">
        <x:v>本次补充说明</x:v>
      </x:c>
      <x:c r="B27" s="12" t="str">
        <x:v>根据用户要求，将此前建议补充的节日/节点全部加入主表；明显可变日期标注【每年变动】，敏感公益/健康类节点在简介中加入谨慎商业化提醒。</x:v>
      </x:c>
    </x:row>
    <x:row r="28" ht="32" customHeight="1">
      <x:c r="A28" s="12" t="str">
        <x:v>National Doctors' Day</x:v>
      </x:c>
      <x:c r="B28" s="12" t="str">
        <x:v>https://nationaldoctorsday.org/</x:v>
      </x:c>
    </x:row>
    <x:row r="29" ht="32" customHeight="1">
      <x:c r="A29" s="12" t="str">
        <x:v>Read Across America</x:v>
      </x:c>
      <x:c r="B29" s="12" t="str">
        <x:v>https://www.nea.org/professional-excellence/student-engagement/read-across-america</x:v>
      </x:c>
    </x:row>
    <x:row r="30" ht="32" customHeight="1">
      <x:c r="A30" s="12" t="str">
        <x:v>National Hospital Week</x:v>
      </x:c>
      <x:c r="B30" s="12" t="str">
        <x:v>https://www.aha.org/ahia/get-involved/national-hospital-week</x:v>
      </x:c>
    </x:row>
    <x:row r="31" ht="32" customHeight="1">
      <x:c r="A31" s="12" t="str">
        <x:v>National School Nurse Day</x:v>
      </x:c>
      <x:c r="B31" s="12" t="str">
        <x:v>https://www.nasn.org/advocacy/school-nurse-day</x:v>
      </x:c>
    </x:row>
    <x:row r="32" ht="32" customHeight="1">
      <x:c r="A32" s="12" t="str">
        <x:v>National EMS Week</x:v>
      </x:c>
      <x:c r="B32" s="12" t="str">
        <x:v>https://www.naemt.org/initiatives/ems-week</x:v>
      </x:c>
    </x:row>
    <x:row r="33" ht="32" customHeight="1">
      <x:c r="A33" s="12" t="str">
        <x:v>U.S. Federal Holidays / OPM</x:v>
      </x:c>
      <x:c r="B33" s="12" t="str">
        <x:v>https://www.opm.gov/policy-data-oversight/pay-leave/federal-holidays/</x:v>
      </x:c>
    </x:row>
    <x:row r="34" ht="32" customHeight="1">
      <x:c r="A34" s="12" t="str">
        <x:v>USA.gov U.S. Holidays</x:v>
      </x:c>
      <x:c r="B34" s="12" t="str">
        <x:v>https://www.usa.gov/holidays</x:v>
      </x:c>
    </x:row>
    <x:row r="35" ht="32" customHeight="1">
      <x:c r="A35" s="12" t="str">
        <x:v>National Library Week / ALA</x:v>
      </x:c>
      <x:c r="B35" s="12" t="str">
        <x:v>https://www.ala.org/conferencesevents/celebrationweeks/natlibraryweek</x:v>
      </x:c>
    </x:row>
    <x:row r="36" ht="32" customHeight="1">
      <x:c r="A36" s="12" t="str">
        <x:v>GivingTuesday</x:v>
      </x:c>
      <x:c r="B36" s="12" t="str">
        <x:v>https://www.givingtuesday.org/participate/</x:v>
      </x:c>
    </x:row>
    <x:row r="37" ht="32" customHeight="1">
      <x:c r="A37" s="12" t="str">
        <x:v>Hispanic Heritage Month</x:v>
      </x:c>
      <x:c r="B37" s="12" t="str">
        <x:v>https://hispanicheritagemonth.gov/</x:v>
      </x:c>
    </x:row>
    <x:row r="38" ht="32" customHeight="1">
      <x:c r="A38" s="12" t="str">
        <x:v>Breast Cancer Awareness Month / American Cancer Society</x:v>
      </x:c>
      <x:c r="B38" s="12" t="str">
        <x:v>https://pressroom.cancer.org/40-years-of-breast-cancer-awareness-month</x:v>
      </x:c>
    </x:row>
    <x:row r="39" ht="32" customHeight="1">
      <x:c r="A39" s="12" t="str">
        <x:v>Suicide Prevention Month / SAMHSA</x:v>
      </x:c>
      <x:c r="B39" s="12" t="str">
        <x:v>https://www.samhsa.gov/about/digital-toolkits/suicide-prevention-month</x:v>
      </x:c>
    </x:row>
    <x:row r="40" ht="32" customHeight="1">
      <x:c r="A40" s="12" t="str">
        <x:v>World Suicide Prevention Day / WHO</x:v>
      </x:c>
      <x:c r="B40" s="12" t="str">
        <x:v>https://www.who.int/campaigns/world-suicide-prevention-day/2025</x:v>
      </x:c>
    </x:row>
    <x:row r="41" ht="32" customHeight="1">
      <x:c r="A41" s="12" t="str">
        <x:v>Domestic Violence Awareness Month</x:v>
      </x:c>
      <x:c r="B41" s="12" t="str">
        <x:v>https://www.dvawareness.org/WithSurvivors</x:v>
      </x:c>
    </x:row>
    <x:row r="42" ht="32" customHeight="1">
      <x:c r="A42" s="12" t="str">
        <x:v>Black History Month</x:v>
      </x:c>
      <x:c r="B42" s="12" t="str">
        <x:v>https://www.blackhistorymonth.gov/About.html</x:v>
      </x:c>
    </x:row>
    <x:row r="43" ht="32" customHeight="1">
      <x:c r="A43" s="12" t="str">
        <x:v>Earth Day</x:v>
      </x:c>
      <x:c r="B43" s="12" t="str">
        <x:v>https://www.earthday.org/earth-day-2026/</x:v>
      </x:c>
    </x:row>
    <x:row r="44" ht="32" customHeight="1">
      <x:c r="A44" s="12" t="str">
        <x:v>Random Acts of Kindness Week</x:v>
      </x:c>
      <x:c r="B44" s="12" t="str">
        <x:v>https://schoolofkindness.org/random-acts-of-kindness-week</x:v>
      </x:c>
    </x:row>
    <x:row r="45" ht="32" customHeight="1">
      <x:c r="A45" s="12" t="str">
        <x:v>Friendship Day</x:v>
      </x:c>
      <x:c r="B45" s="12" t="str">
        <x:v>https://nationaldaycalendar.com/celebrations/national-friendship-day-first-sunday-in-august</x:v>
      </x:c>
    </x:row>
    <x:row r="46" ht="32" customHeight="1">
      <x:c r="A46" s="12" t="str">
        <x:v>Cinco de Mayo</x:v>
      </x:c>
      <x:c r="B46" s="12" t="str">
        <x:v>https://www.history.com/articles/cinco-de-mayo</x:v>
      </x:c>
    </x:row>
    <x:row r="47" ht="32" customHeight="1">
      <x:c r="A47" s="12" t="str">
        <x:v>Flag Day</x:v>
      </x:c>
      <x:c r="B47" s="12" t="str">
        <x:v>https://uscode.house.gov/view.xhtml?req=granuleid:USC-prelim-title36-section110</x:v>
      </x:c>
    </x:row>
    <x:row r="48" ht="32" customHeight="1">
      <x:c r="A48" s="12" t="str">
        <x:v>Women’s Equality Day</x:v>
      </x:c>
      <x:c r="B48" s="12" t="str">
        <x:v>https://www.census.gov/newsroom/stories/womens-equality-day.html</x:v>
      </x:c>
    </x:row>
    <x:row r="49" ht="32" customHeight="1">
      <x:c r="A49" s="12" t="str">
        <x:v>St. Patrick's Day</x:v>
      </x:c>
      <x:c r="B49" s="12" t="str">
        <x:v>https://www.history.com/topics/st-patricks-day/history-of-st-patricks-day</x:v>
      </x:c>
    </x:row>
    <x:row r="50" ht="32" customHeight="1">
      <x:c r="A50" s="12" t="str">
        <x:v>National Librarian Day</x:v>
      </x:c>
      <x:c r="B50" s="12" t="str">
        <x:v>https://www.daysoftheyear.com/days/national-librarian-day/</x:v>
      </x:c>
    </x:row>
    <x:row r="52">
      <x:c r="A52" s="31" t="str">
        <x:v>排查时间点生成逻辑</x:v>
      </x:c>
      <x:c r="B52" s="32" t="str">
        <x:v>新增字段按运营节奏生成，不代表官方节日日期；每年变动节点需按当年实际日期倒推。</x:v>
      </x:c>
    </x:row>
    <x:row r="53">
      <x:c r="A53" s="30" t="str">
        <x:v>一次排查</x:v>
      </x:c>
      <x:c r="B53" s="12" t="str">
        <x:v>用于提前筛SKU、核库存/FBA承接、历史动销、Listing适配和是否值得预热。</x:v>
      </x:c>
    </x:row>
    <x:row r="54">
      <x:c r="A54" s="30" t="str">
        <x:v>二次排查</x:v>
      </x:c>
      <x:c r="B54" s="12" t="str">
        <x:v>用于补广告结构、关键词/ASIN、标题/主图埋词、预算和竞价。</x:v>
      </x:c>
    </x:row>
    <x:row r="55">
      <x:c r="A55" s="30" t="str">
        <x:v>高频跟进</x:v>
      </x:c>
      <x:c r="B55" s="12" t="str">
        <x:v>用于节点临近后的利润/ACOS/广告占比/库存/断货/清尾监控。</x:v>
      </x:c>
    </x:row>
    <x:row r="56">
      <x:c r="A56" s="30" t="str">
        <x:v>敏感节点</x:v>
      </x:c>
      <x:c r="B56" s="12" t="str">
        <x:v>黑人历史月、心理健康、自杀预防、家暴关注、六月节、Pride等仅适合真实匹配产品，商业化要克制。</x:v>
      </x:c>
    </x:row>
    <x:row r="57">
      <x:c r="A57" s="12" t="str">
        <x:v>2026-05-25 修正</x:v>
      </x:c>
      <x:c r="B57" s="12" t="str">
        <x:v>新增“临近高频”状态：当今天距离高频跟进窗口开始≤14天，且尚未进入高频窗口时，也进入今日提醒。用于解决 Juneteenth/六月节等6月节点在5月底空档期不显示的问题。</x:v>
      </x:c>
    </x:row>
    <x:row r="58">
      <x:c r="A58" s="12" t="str">
        <x:v>2026-05-25 修正</x:v>
      </x:c>
      <x:c r="B58" s="12" t="str">
        <x:v>今日提醒输出区从原来的11条扩展到47条，避免提醒数增加后被底部行数截断。</x:v>
      </x:c>
    </x:row>
    <x:row r="59">
      <x:c r="A59" s="12" t="str">
        <x:v>2026-05-25 修正</x:v>
      </x:c>
      <x:c r="B59" s="12" t="str">
        <x:v>提醒统计与排序键同步加入“临近高频”，优先级为：节点进行中 &gt; 高频跟进 &gt; 临近高频 &gt; 二次排查 &gt; 一次排查。</x:v>
      </x:c>
    </x:row>
    <x:row r="60">
      <x:c r="A60" s="104" t="str">
        <x:v>2026-05-25 举一反三优化</x:v>
      </x:c>
      <x:c r="B60" s="105" t="str">
        <x:v>新增“收尾下滑”状态：当巡查日期仍在节点/销售窗口内，但已经超过高频跟进结束日，自动视为尾期风险。用于 Graduation / Prom 等已过主购买窗口但日期仍在窗口内的节点。</x:v>
      </x:c>
    </x:row>
    <x:row r="61">
      <x:c r="A61" s="104" t="str">
        <x:v>2026-05-25 举一反三优化</x:v>
      </x:c>
      <x:c r="B61" s="105" t="str">
        <x:v>新增“节后清尾”状态：当节点结束日已过，但仍在表内高频/清尾窗口内，优先提醒节后降投、复盘、控低效流量。</x:v>
      </x:c>
    </x:row>
    <x:row r="62">
      <x:c r="A62" s="104" t="str">
        <x:v>2026-05-25 举一反三优化</x:v>
      </x:c>
      <x:c r="B62" s="105" t="str">
        <x:v>今日提醒改为“机会+风险”看板，新增提醒类型与动作方向；统计机会数、风险数和总提醒数。</x:v>
      </x:c>
    </x:row>
    <x:row r="63">
      <x:c r="A63" s="104" t="str">
        <x:v>2026-05-25 举一反三优化</x:v>
      </x:c>
      <x:c r="B63" s="105" t="str">
        <x:v>主表新增 V:X 辅助列：提醒类型、运营动作方向、尾期判断，便于后续扩展到广告/库存/Listing动作池。</x:v>
      </x:c>
    </x:row>
    <x:row r="64">
      <x:c r="A64" s="113" t="str">
        <x:v>2026-05-25 修正：大节气提前提醒</x:v>
      </x:c>
      <x:c r="B64" s="113" t="str">
        <x:v>新增“大节气提前”和“临近二次”状态：Independence Day 这类大节气在高频前30天内进入今日提醒，避免二次排查后、高频前的空窗期被误判为“等待下一窗口”。</x:v>
      </x:c>
    </x:row>
    <x:row r="65">
      <x:c r="A65" s="113" t="str">
        <x:v>适用逻辑</x:v>
      </x:c>
      <x:c r="B65" s="113" t="str">
        <x:v>大节气名单包含春节、超级碗、情人节、复活节、毕业季、母亲节、阵亡将士纪念日、父亲节、独立日、返校季、劳动节、万圣节、感恩节、黑五网一、圣诞等强礼品/强流量节点。</x:v>
      </x:c>
    </x:row>
    <x:row r="66">
      <x:c r="A66" s="113" t="str">
        <x:v>运营含义</x:v>
      </x:c>
      <x:c r="B66" s="113" t="str">
        <x:v>大节气提前不是盲目加投，而是提前锁定主推SKU、库存承接、Listing节日词、广告结构、预算上限；低相关/低库存产品仍然不硬推。</x:v>
      </x:c>
    </x:row>
  </x:sheetData>
  <x:pageMargins left="0.7" right="0.7" top="0.75" bottom="0.75" header="0.3" footer="0.3"/>
  <x:tableParts count="1">
    <x:tablePart xmlns:r="http://schemas.openxmlformats.org/officeDocument/2006/relationships" r:id="Rda8e171d68a54c3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48" hidden="0" customWidth="1"/>
    <x:col min="4" max="4" width="58" hidden="0" customWidth="1"/>
  </x:cols>
  <x:sheetData>
    <x:row r="1">
      <x:c r="A1" s="29" t="str">
        <x:v>节奏类型</x:v>
      </x:c>
      <x:c r="B1" s="29" t="str">
        <x:v>一次排查</x:v>
      </x:c>
      <x:c r="C1" s="29" t="str">
        <x:v>二次排查</x:v>
      </x:c>
      <x:c r="D1" s="29" t="str">
        <x:v>高频跟进</x:v>
      </x:c>
    </x:row>
    <x:row r="2">
      <x:c r="A2" s="15" t="str">
        <x:v>大节日/强礼品节点</x:v>
      </x:c>
      <x:c r="B2" s="15" t="str">
        <x:v>节点前90-120天：历史销量、库存承接、Listing适配。</x:v>
      </x:c>
      <x:c r="C2" s="15" t="str">
        <x:v>节点前45-60天：广告结构、关键词/ASIN、标题主图到位。</x:v>
      </x:c>
      <x:c r="D2" s="15" t="str">
        <x:v>节点前21天-结束后3天：头部每日看，节后降投/清尾。</x:v>
      </x:c>
    </x:row>
    <x:row r="3">
      <x:c r="A3" s="15" t="str">
        <x:v>职业感谢周/感谢日</x:v>
      </x:c>
      <x:c r="B3" s="15" t="str">
        <x:v>节点前60-75天：按职业词筛SKU，核库存与历史动销。</x:v>
      </x:c>
      <x:c r="C3" s="15" t="str">
        <x:v>节点前30-40天：建/补广告组，补词和ASIN。</x:v>
      </x:c>
      <x:c r="D3" s="15" t="str">
        <x:v>节点前14天-节点周结束：高库存/高花费每日看。</x:v>
      </x:c>
    </x:row>
    <x:row r="4">
      <x:c r="A4" s="15" t="str">
        <x:v>意识月/敏感节点</x:v>
      </x:c>
      <x:c r="B4" s="15" t="str">
        <x:v>开始前75-90天：先确认真实匹配，避免硬蹭。</x:v>
      </x:c>
      <x:c r="C4" s="15" t="str">
        <x:v>开始前35-45天：文案/图片/关键词克制合规。</x:v>
      </x:c>
      <x:c r="D4" s="15" t="str">
        <x:v>开始前14天-节点中段：每2-3天看，风险高就停。</x:v>
      </x:c>
    </x:row>
    <x:row r="5">
      <x:c r="A5" s="15" t="str">
        <x:v>长周期季节</x:v>
      </x:c>
      <x:c r="B5" s="15" t="str">
        <x:v>热卖启动前90天：看历史动销起点和库存承接。</x:v>
      </x:c>
      <x:c r="C5" s="15" t="str">
        <x:v>启动前45天：Listing/广告/价格到位，低预算轻测。</x:v>
      </x:c>
      <x:c r="D5" s="15" t="str">
        <x:v>启动前14天-旺季中段：头部每日看，长尾每周2次。</x:v>
      </x:c>
    </x:row>
    <x:row r="6">
      <x:c r="A6" s="15" t="str">
        <x:v>大促节点</x:v>
      </x:c>
      <x:c r="B6" s="15" t="str">
        <x:v>大促前45-60天：盘库存、价格、毛利、滞销/放量款。</x:v>
      </x:c>
      <x:c r="C6" s="15" t="str">
        <x:v>大促前14-21天：定折扣、预算上限、主推/清货名单。</x:v>
      </x:c>
      <x:c r="D6" s="15" t="str">
        <x:v>大促前7天-结束后2天：每日看利润、广告占比、断货/清货。</x:v>
      </x:c>
    </x:row>
    <x:row r="8">
      <x:c r="A8" s="6" t="str">
        <x:v>自动高亮规则（主表）</x:v>
      </x:c>
      <x:c r="B8" s="6" t="str">
        <x:v>颜色</x:v>
      </x:c>
      <x:c r="C8" s="6" t="str">
        <x:v>含义</x:v>
      </x:c>
      <x:c r="D8" s="6" t="str">
        <x:v>动作优先级</x:v>
      </x:c>
    </x:row>
    <x:row r="9">
      <x:c r="A9" s="113" t="str">
        <x:v>收尾下滑</x:v>
      </x:c>
      <x:c r="B9" s="113" t="str">
        <x:v>紫红色</x:v>
      </x:c>
      <x:c r="C9" s="113" t="str">
        <x:v>今天仍在销售窗口内，但高频/主购买窗口已结束，流量可能开始走弱</x:v>
      </x:c>
      <x:c r="D9" s="113" t="str">
        <x:v>最高：控投、清尾、算留仓/清货，不盲目加预算或新建广告</x:v>
      </x:c>
    </x:row>
    <x:row r="10">
      <x:c r="A10" s="113" t="str">
        <x:v>节后清尾</x:v>
      </x:c>
      <x:c r="B10" s="113" t="str">
        <x:v>灰橙色</x:v>
      </x:c>
      <x:c r="C10" s="113" t="str">
        <x:v>节日已过，但还处于表内设置的清尾/复盘窗口</x:v>
      </x:c>
      <x:c r="D10" s="113" t="str">
        <x:v>高：关低效词、降无效预算，保留高转化词吃尾流</x:v>
      </x:c>
    </x:row>
    <x:row r="11">
      <x:c r="A11" s="113" t="str">
        <x:v>节点当日</x:v>
      </x:c>
      <x:c r="B11" s="113" t="str">
        <x:v>红色</x:v>
      </x:c>
      <x:c r="C11" s="113" t="str">
        <x:v>今天就是节点当天，不应再显示为预热</x:v>
      </x:c>
      <x:c r="D11" s="113" t="str">
        <x:v>最高：当日冲刺，同时防止尾流乱烧钱</x:v>
      </x:c>
    </x:row>
    <x:row r="12">
      <x:c r="A12" s="113" t="str">
        <x:v>节点进行中</x:v>
      </x:c>
      <x:c r="B12" s="113" t="str">
        <x:v>红色</x:v>
      </x:c>
      <x:c r="C12" s="113" t="str">
        <x:v>今天处于节日/销售窗口内，且未过高频窗口</x:v>
      </x:c>
      <x:c r="D12" s="113" t="str">
        <x:v>高：看销量、库存、广告花费、转化、清尾/控投</x:v>
      </x:c>
    </x:row>
    <x:row r="13">
      <x:c r="A13" s="114" t="str">
        <x:v>高频跟进</x:v>
      </x:c>
      <x:c r="B13" s="114" t="str">
        <x:v>黄色</x:v>
      </x:c>
      <x:c r="C13" s="114" t="str">
        <x:v>今天处于高频跟进窗口</x:v>
      </x:c>
      <x:c r="D13" s="114" t="str">
        <x:v>高：头部SKU每日看，高库存/高花费优先</x:v>
      </x:c>
    </x:row>
    <x:row r="14" ht="50" customHeight="1">
      <x:c r="A14" s="24" t="str">
        <x:v>临近高频</x:v>
      </x:c>
      <x:c r="B14" s="24" t="str">
        <x:v>橙色</x:v>
      </x:c>
      <x:c r="C14" s="24" t="str">
        <x:v>高频窗口前14天内但尚未进入高频窗口</x:v>
      </x:c>
      <x:c r="D14" s="24" t="str">
        <x:v>中高：先预查广告结构、关键词/ASIN、Listing埋词、库存承接和预算</x:v>
      </x:c>
    </x:row>
    <x:row r="15" ht="50" customHeight="1">
      <x:c r="A15" s="113" t="str">
        <x:v>大节气提前</x:v>
      </x:c>
      <x:c r="B15" s="113" t="str">
        <x:v>橙红色</x:v>
      </x:c>
      <x:c r="C15" s="113" t="str">
        <x:v>大节气在高频前30天内，即使未到普通临近高频，也提前进入今日提醒</x:v>
      </x:c>
      <x:c r="D15" s="113" t="str">
        <x:v>中高：提前锁主推SKU、库存承接、Listing节日词、广告结构、预算上限</x:v>
      </x:c>
    </x:row>
    <x:row r="16" ht="50" customHeight="1">
      <x:c r="A16" s="113" t="str">
        <x:v>二次排查</x:v>
      </x:c>
      <x:c r="B16" s="113" t="str">
        <x:v>蓝色</x:v>
      </x:c>
      <x:c r="C16" s="113" t="str">
        <x:v>今天处于二次排查窗口</x:v>
      </x:c>
      <x:c r="D16" s="113" t="str">
        <x:v>中高：补广告结构、关键词/ASIN、预算、Listing埋词</x:v>
      </x:c>
    </x:row>
    <x:row r="17" ht="50" customHeight="1">
      <x:c r="A17" s="113" t="str">
        <x:v>临近二次</x:v>
      </x:c>
      <x:c r="B17" s="113" t="str">
        <x:v>浅蓝色</x:v>
      </x:c>
      <x:c r="C17" s="113" t="str">
        <x:v>大节气二次排查前14天内，提前提醒准备</x:v>
      </x:c>
      <x:c r="D17" s="113" t="str">
        <x:v>中：提前准备词/ASIN/图片/价格/促销</x:v>
      </x:c>
    </x:row>
    <x:row r="18" ht="50" customHeight="1">
      <x:c r="A18" s="113" t="str">
        <x:v>一次排查</x:v>
      </x:c>
      <x:c r="B18" s="113" t="str">
        <x:v>绿色</x:v>
      </x:c>
      <x:c r="C18" s="113" t="str">
        <x:v>今天处于一次排查窗口</x:v>
      </x:c>
      <x:c r="D18" s="113" t="str">
        <x:v>中：先筛SKU，看历史动销、库存、利润、Listing匹配</x:v>
      </x:c>
    </x:row>
    <x:row r="19" ht="50" customHeight="1">
      <x:c r="A19" s="113" t="str">
        <x:v>提醒排序</x:v>
      </x:c>
      <x:c r="B19" s="113" t="str">
        <x:v>自动</x:v>
      </x:c>
      <x:c r="C19" s="113" t="str">
        <x:v>收尾下滑 &gt; 节后清尾 &gt; 节点当日 &gt; 节点进行中 &gt; 高频跟进 &gt; 临近高频 &gt; 大节气提前 &gt; 二次排查 &gt; 临近二次 &gt; 一次排查</x:v>
      </x:c>
      <x:c r="D19" s="113" t="str">
        <x:v>先止损，再抓机会；大节气不等到当天才处理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14" hidden="0" customWidth="1"/>
    <x:col min="5" max="5" width="18" hidden="0" customWidth="1"/>
    <x:col min="6" max="6" width="22" hidden="0" customWidth="1"/>
    <x:col min="7" max="7" width="35" hidden="0" customWidth="1"/>
    <x:col min="8" max="8" width="56" hidden="0" customWidth="1"/>
    <x:col min="9" max="9" width="38" hidden="0" customWidth="1"/>
    <x:col min="10" max="10" width="10" hidden="0" customWidth="1"/>
  </x:cols>
  <x:sheetData>
    <x:row r="1" ht="30" customHeight="1">
      <x:c r="A1" s="99" t="str">
        <x:f>"今日提醒（巡查日期："&amp;TEXT($B$2,"yyyy-mm-dd")&amp;"；机会+风险+大节气提前自动刷新）"</x:f>
        <x:v>今日提醒（巡查日期：2026-05-25；机会+风险+大节气提前自动刷新）</x:v>
      </x:c>
      <x:c r="B1" s="99"/>
      <x:c r="C1" s="99"/>
      <x:c r="D1" s="99"/>
      <x:c r="E1" s="99"/>
      <x:c r="F1" s="99"/>
      <x:c r="G1" s="99"/>
      <x:c r="H1" s="99"/>
      <x:c r="I1" s="99"/>
      <x:c r="J1" s="99"/>
    </x:row>
    <x:row r="2" ht="30" customHeight="1">
      <x:c r="A2" s="100" t="str">
        <x:v>巡查日期</x:v>
      </x:c>
      <x:c r="B2" s="101" t="n">
        <x:f>TODAY()</x:f>
        <x:v>46167</x:v>
      </x:c>
      <x:c r="C2" s="100" t="str">
        <x:v>可手动改 B2 做指定日期复盘；恢复自动刷新时填 =TODAY()；大节气会提前进入提醒。</x:v>
      </x:c>
      <x:c r="D2" s="100" t="str">
        <x:v>机会数</x:v>
      </x:c>
      <x:c r="E2" s="100" t="n">
        <x:f>COUNTIF('节气整理'!$V$2:$V$130,"机会/预热")+COUNTIF('节气整理'!$V$2:$V$130,"机会/进行中")+COUNTIF('节气整理'!$V$2:$V$130,"机会/当日冲刺")+COUNTIF('节气整理'!$V$2:$V$130,"机会/高频")+COUNTIF('节气整理'!$V$2:$V$130,"机会/大节气提前")</x:f>
        <x:v>12</x:v>
      </x:c>
      <x:c r="F2" s="100" t="str">
        <x:v>风险数</x:v>
      </x:c>
      <x:c r="G2" s="102" t="n">
        <x:f>COUNTIF('节气整理'!$V$2:$V$130,"风险/止损")</x:f>
        <x:v>4</x:v>
      </x:c>
      <x:c r="H2" s="100" t="str">
        <x:v>提醒总数</x:v>
      </x:c>
      <x:c r="I2" s="100" t="n">
        <x:f>$E$2+$G$2</x:f>
        <x:v>16</x:v>
      </x:c>
      <x:c r="J2" s="100"/>
    </x:row>
    <x:row r="3" ht="34" customHeight="1">
      <x:c r="A3" s="65" t="str">
        <x:v>节气名</x:v>
      </x:c>
      <x:c r="B3" s="65" t="str">
        <x:v>中文翻译</x:v>
      </x:c>
      <x:c r="C3" s="65" t="str">
        <x:v>今日状态</x:v>
      </x:c>
      <x:c r="D3" s="65" t="str">
        <x:v>提醒类型</x:v>
      </x:c>
      <x:c r="E3" s="65" t="str">
        <x:v>动作方向</x:v>
      </x:c>
      <x:c r="F3" s="65" t="str">
        <x:v>时间（2026）</x:v>
      </x:c>
      <x:c r="G3" s="65" t="str">
        <x:v>对应产品方向</x:v>
      </x:c>
      <x:c r="H3" s="65" t="str">
        <x:v>今天动作提示</x:v>
      </x:c>
      <x:c r="I3" s="65" t="str">
        <x:v>高频跟进时间点（2026）</x:v>
      </x:c>
      <x:c r="J3" s="65" t="str">
        <x:v>源行号</x:v>
      </x:c>
    </x:row>
    <x:row r="4" ht="56" customHeight="1">
      <x:c r="A4" s="111" t="str">
        <x:f>IF($J4="","",INDEX('节气整理'!A:A,$J4))</x:f>
        <x:v>Graduation Season</x:v>
      </x:c>
      <x:c r="B4" s="111" t="str">
        <x:f>IF($J4="","",INDEX('节气整理'!B:B,$J4))</x:f>
        <x:v>毕业季</x:v>
      </x:c>
      <x:c r="C4" s="111" t="str">
        <x:f>IF($J4="","",INDEX('节气整理'!J:J,$J4))</x:f>
        <x:v>收尾下滑</x:v>
      </x:c>
      <x:c r="D4" s="111" t="str">
        <x:f>IF($J4="","",INDEX('节气整理'!V:V,$J4))</x:f>
        <x:v>风险/止损</x:v>
      </x:c>
      <x:c r="E4" s="111" t="str">
        <x:f>IF($J4="","",INDEX('节气整理'!W:W,$J4))</x:f>
        <x:v>控投/清尾/算留仓</x:v>
      </x:c>
      <x:c r="F4" s="111" t="str">
        <x:f>IF($J4="","",INDEX('节气整理'!D:D,$J4))</x:f>
        <x:v>2026-04-01 ~ 2026-06-15</x:v>
      </x:c>
      <x:c r="G4" s="111" t="str">
        <x:f>IF($J4="","",INDEX('节气整理'!F:F,$J4))</x:f>
        <x:v>毕业礼、class of 2026、毕业钥匙扣/手链/卡片/书签</x:v>
      </x:c>
      <x:c r="H4" s="112" t="str">
        <x:f>IF($J4="","",INDEX('节气整理'!K:K,$J4))</x:f>
        <x:v>主购买/高频窗口已过，流量可能走弱：不要盲目加预算或新建组；优先看库存压力、ACOS、广告占比、自然单，仅保留高转化词，计算清货/留仓。</x:v>
      </x:c>
      <x:c r="I4" s="111" t="str">
        <x:f>IF($J4="","",INDEX('节气整理'!I:I,$J4))</x:f>
        <x:v>2026-03-18 ~ 2026-05-08：头部SKU每日看，普通SKU每周2次。</x:v>
      </x:c>
      <x:c r="J4" s="111" t="n">
        <x:f>IFERROR(IF(SMALL('节气整理'!$U$2:$U$130,ROWS($J$4:J4))&gt;=90000000,"",MOD(SMALL('节气整理'!$U$2:$U$130,ROWS($J$4:J4)),100000)),"")</x:f>
        <x:v>48</x:v>
      </x:c>
    </x:row>
    <x:row r="5" ht="56" customHeight="1">
      <x:c r="A5" s="111" t="str">
        <x:f>IF($J5="","",INDEX('节气整理'!A:A,$J5))</x:f>
        <x:v>Prom Season</x:v>
      </x:c>
      <x:c r="B5" s="111" t="str">
        <x:f>IF($J5="","",INDEX('节气整理'!B:B,$J5))</x:f>
        <x:v>毕业舞会季</x:v>
      </x:c>
      <x:c r="C5" s="111" t="str">
        <x:f>IF($J5="","",INDEX('节气整理'!J:J,$J5))</x:f>
        <x:v>收尾下滑</x:v>
      </x:c>
      <x:c r="D5" s="111" t="str">
        <x:f>IF($J5="","",INDEX('节气整理'!V:V,$J5))</x:f>
        <x:v>风险/止损</x:v>
      </x:c>
      <x:c r="E5" s="111" t="str">
        <x:f>IF($J5="","",INDEX('节气整理'!W:W,$J5))</x:f>
        <x:v>控投/清尾/算留仓</x:v>
      </x:c>
      <x:c r="F5" s="111" t="str">
        <x:f>IF($J5="","",INDEX('节气整理'!D:D,$J5))</x:f>
        <x:v>2026-03-01 ~ 2026-05-31</x:v>
      </x:c>
      <x:c r="G5" s="111" t="str">
        <x:f>IF($J5="","",INDEX('节气整理'!F:F,$J5))</x:f>
        <x:v>毕业礼、class of 2026、毕业钥匙扣/手链/卡片/书签</x:v>
      </x:c>
      <x:c r="H5" s="112" t="str">
        <x:f>IF($J5="","",INDEX('节气整理'!K:K,$J5))</x:f>
        <x:v>主购买/高频窗口已过，流量可能走弱：不要盲目加预算或新建组；优先看库存压力、ACOS、广告占比、自然单，仅保留高转化词，计算清货/留仓。</x:v>
      </x:c>
      <x:c r="I5" s="111" t="str">
        <x:f>IF($J5="","",INDEX('节气整理'!I:I,$J5))</x:f>
        <x:v>2026-02-15 ~ 2026-04-15：头部SKU每日看，普通SKU每周2次。</x:v>
      </x:c>
      <x:c r="J5" s="111" t="n">
        <x:f>IFERROR(IF(SMALL('节气整理'!$U$2:$U$130,ROWS($J$4:J5))&gt;=90000000,"",MOD(SMALL('节气整理'!$U$2:$U$130,ROWS($J$4:J5)),100000)),"")</x:f>
        <x:v>49</x:v>
      </x:c>
    </x:row>
    <x:row r="6" ht="56" customHeight="1">
      <x:c r="A6" s="111" t="str">
        <x:f>IF($J6="","",INDEX('节气整理'!A:A,$J6))</x:f>
        <x:v>Mental Health Awareness Month</x:v>
      </x:c>
      <x:c r="B6" s="111" t="str">
        <x:f>IF($J6="","",INDEX('节气整理'!B:B,$J6))</x:f>
        <x:v>心理健康意识月</x:v>
      </x:c>
      <x:c r="C6" s="111" t="str">
        <x:f>IF($J6="","",INDEX('节气整理'!J:J,$J6))</x:f>
        <x:v>收尾下滑</x:v>
      </x:c>
      <x:c r="D6" s="111" t="str">
        <x:f>IF($J6="","",INDEX('节气整理'!V:V,$J6))</x:f>
        <x:v>风险/止损</x:v>
      </x:c>
      <x:c r="E6" s="111" t="str">
        <x:f>IF($J6="","",INDEX('节气整理'!W:W,$J6))</x:f>
        <x:v>控投/清尾/算留仓</x:v>
      </x:c>
      <x:c r="F6" s="111" t="str">
        <x:f>IF($J6="","",INDEX('节气整理'!D:D,$J6))</x:f>
        <x:v>2026-05-01 ~ 2026-05-31</x:v>
      </x:c>
      <x:c r="G6" s="111" t="str">
        <x:f>IF($J6="","",INDEX('节气整理'!F:F,$J6))</x:f>
        <x:v>意识/支持类产品：丝带、手链、鼓励卡、贴纸；敏感节点商业化要克制</x:v>
      </x:c>
      <x:c r="H6" s="112" t="str">
        <x:f>IF($J6="","",INDEX('节气整理'!K:K,$J6))</x:f>
        <x:v>主购买/高频窗口已过，流量可能走弱：不要盲目加预算或新建组；优先看库存压力、ACOS、广告占比、自然单，仅保留高转化词，计算清货/留仓。</x:v>
      </x:c>
      <x:c r="I6" s="111" t="str">
        <x:f>IF($J6="","",INDEX('节气整理'!I:I,$J6))</x:f>
        <x:v>2026-04-17 ~ 2026-05-16：每2-3天看；表现差或表达风险高就停。</x:v>
      </x:c>
      <x:c r="J6" s="111" t="n">
        <x:f>IFERROR(IF(SMALL('节气整理'!$U$2:$U$130,ROWS($J$4:J6))&gt;=90000000,"",MOD(SMALL('节气整理'!$U$2:$U$130,ROWS($J$4:J6)),100000)),"")</x:f>
        <x:v>50</x:v>
      </x:c>
    </x:row>
    <x:row r="7" ht="56" customHeight="1">
      <x:c r="A7" s="111" t="str">
        <x:f>IF($J7="","",INDEX('节气整理'!A:A,$J7))</x:f>
        <x:v>National Speech-Language-Hearing Month</x:v>
      </x:c>
      <x:c r="B7" s="111" t="str">
        <x:f>IF($J7="","",INDEX('节气整理'!B:B,$J7))</x:f>
        <x:v>言语语言听力月</x:v>
      </x:c>
      <x:c r="C7" s="111" t="str">
        <x:f>IF($J7="","",INDEX('节气整理'!J:J,$J7))</x:f>
        <x:v>收尾下滑</x:v>
      </x:c>
      <x:c r="D7" s="111" t="str">
        <x:f>IF($J7="","",INDEX('节气整理'!V:V,$J7))</x:f>
        <x:v>风险/止损</x:v>
      </x:c>
      <x:c r="E7" s="111" t="str">
        <x:f>IF($J7="","",INDEX('节气整理'!W:W,$J7))</x:f>
        <x:v>控投/清尾/算留仓</x:v>
      </x:c>
      <x:c r="F7" s="111" t="str">
        <x:f>IF($J7="","",INDEX('节气整理'!D:D,$J7))</x:f>
        <x:v>2026-05-01 ~ 2026-05-31</x:v>
      </x:c>
      <x:c r="G7" s="111" t="str">
        <x:f>IF($J7="","",INDEX('节气整理'!F:F,$J7))</x:f>
        <x:v>SLP/audiologist gifts、speech therapy感谢礼、办公室小礼</x:v>
      </x:c>
      <x:c r="H7" s="112" t="str">
        <x:f>IF($J7="","",INDEX('节气整理'!K:K,$J7))</x:f>
        <x:v>主购买/高频窗口已过，流量可能走弱：不要盲目加预算或新建组；优先看库存压力、ACOS、广告占比、自然单，仅保留高转化词，计算清货/留仓。</x:v>
      </x:c>
      <x:c r="I7" s="111" t="str">
        <x:f>IF($J7="","",INDEX('节气整理'!I:I,$J7))</x:f>
        <x:v>2026-04-17 ~ 2026-04-24：重点SKU每日或隔日看，长尾每周2次。</x:v>
      </x:c>
      <x:c r="J7" s="111" t="n">
        <x:f>IFERROR(IF(SMALL('节气整理'!$U$2:$U$130,ROWS($J$4:J7))&gt;=90000000,"",MOD(SMALL('节气整理'!$U$2:$U$130,ROWS($J$4:J7)),100000)),"")</x:f>
        <x:v>51</x:v>
      </x:c>
    </x:row>
    <x:row r="8" ht="56" customHeight="1">
      <x:c r="A8" s="111" t="str">
        <x:f>IF($J8="","",INDEX('节气整理'!A:A,$J8))</x:f>
        <x:v>Memorial Day</x:v>
      </x:c>
      <x:c r="B8" s="111" t="str">
        <x:f>IF($J8="","",INDEX('节气整理'!B:B,$J8))</x:f>
        <x:v>阵亡将士纪念日</x:v>
      </x:c>
      <x:c r="C8" s="111" t="str">
        <x:f>IF($J8="","",INDEX('节气整理'!J:J,$J8))</x:f>
        <x:v>节点当日</x:v>
      </x:c>
      <x:c r="D8" s="111" t="str">
        <x:f>IF($J8="","",INDEX('节气整理'!V:V,$J8))</x:f>
        <x:v>机会/当日冲刺</x:v>
      </x:c>
      <x:c r="E8" s="111" t="str">
        <x:f>IF($J8="","",INDEX('节气整理'!W:W,$J8))</x:f>
        <x:v>当日冲刺/控尾流</x:v>
      </x:c>
      <x:c r="F8" s="111" t="str">
        <x:f>IF($J8="","",INDEX('节气整理'!D:D,$J8))</x:f>
        <x:v>2026-05-25</x:v>
      </x:c>
      <x:c r="G8" s="111" t="str">
        <x:f>IF($J8="","",INDEX('节气整理'!F:F,$J8))</x:f>
        <x:v>patriotic gifts、USA旗帜元素、veteran/military remembrance、户外/BBQ小物</x:v>
      </x:c>
      <x:c r="H8" s="112" t="str">
        <x:f>IF($J8="","",INDEX('节气整理'!K:K,$J8))</x:f>
        <x:v>今天就是节点当日：优先看转化、库存承接、广告花费和尾流风险；可以吃最后一波有效流量，但不要再大范围新建或盲目加预算。</x:v>
      </x:c>
      <x:c r="I8" s="111" t="str">
        <x:f>IF($J8="","",INDEX('节气整理'!I:I,$J8))</x:f>
        <x:v>2026-05-04 ~ 2026-05-28：头部SKU每日看，过后及时降投/清尾。</x:v>
      </x:c>
      <x:c r="J8" s="111" t="n">
        <x:f>IFERROR(IF(SMALL('节气整理'!$U$2:$U$130,ROWS($J$4:J8))&gt;=90000000,"",MOD(SMALL('节气整理'!$U$2:$U$130,ROWS($J$4:J8)),100000)),"")</x:f>
        <x:v>67</x:v>
      </x:c>
    </x:row>
    <x:row r="9" ht="56" customHeight="1">
      <x:c r="A9" s="111" t="str">
        <x:f>IF($J9="","",INDEX('节气整理'!A:A,$J9))</x:f>
        <x:v>VBS / Vacation Bible School</x:v>
      </x:c>
      <x:c r="B9" s="111" t="str">
        <x:f>IF($J9="","",INDEX('节气整理'!B:B,$J9))</x:f>
        <x:v>暑期圣经学校</x:v>
      </x:c>
      <x:c r="C9" s="111" t="str">
        <x:f>IF($J9="","",INDEX('节气整理'!J:J,$J9))</x:f>
        <x:v>节点进行中</x:v>
      </x:c>
      <x:c r="D9" s="111" t="str">
        <x:f>IF($J9="","",INDEX('节气整理'!V:V,$J9))</x:f>
        <x:v>机会/进行中</x:v>
      </x:c>
      <x:c r="E9" s="111" t="str">
        <x:f>IF($J9="","",INDEX('节气整理'!W:W,$J9))</x:f>
        <x:v>转化监控/看趋势</x:v>
      </x:c>
      <x:c r="F9" s="111" t="str">
        <x:f>IF($J9="","",INDEX('节气整理'!D:D,$J9))</x:f>
        <x:v>2026-05-25 ~ 2026-07-31</x:v>
      </x:c>
      <x:c r="G9" s="111" t="str">
        <x:f>IF($J9="","",INDEX('节气整理'!F:F,$J9))</x:f>
        <x:v>Christian gifts、Bible verse书签/卡片、教会活动礼、pocket hug</x:v>
      </x:c>
      <x:c r="H9" s="112" t="str">
        <x:f>IF($J9="","",INDEX('节气整理'!K:K,$J9))</x:f>
        <x:v>当前在节点/销售窗口内：这是进行中，不是预热；重点看销量、库存承接、广告花费、转化和是否已出现流量下滑。</x:v>
      </x:c>
      <x:c r="I9" s="111" t="str">
        <x:f>IF($J9="","",INDEX('节气整理'!I:I,$J9))</x:f>
        <x:v>2026-05-11 ~ 2026-06-27：头部SKU每日看，普通SKU每周2次。</x:v>
      </x:c>
      <x:c r="J9" s="111" t="n">
        <x:f>IFERROR(IF(SMALL('节气整理'!$U$2:$U$130,ROWS($J$4:J9))&gt;=90000000,"",MOD(SMALL('节气整理'!$U$2:$U$130,ROWS($J$4:J9)),100000)),"")</x:f>
        <x:v>64</x:v>
      </x:c>
    </x:row>
    <x:row r="10" ht="56" customHeight="1">
      <x:c r="A10" s="111" t="str">
        <x:f>IF($J10="","",INDEX('节气整理'!A:A,$J10))</x:f>
        <x:v>Wedding Season</x:v>
      </x:c>
      <x:c r="B10" s="111" t="str">
        <x:f>IF($J10="","",INDEX('节气整理'!B:B,$J10))</x:f>
        <x:v>婚礼季</x:v>
      </x:c>
      <x:c r="C10" s="111" t="str">
        <x:f>IF($J10="","",INDEX('节气整理'!J:J,$J10))</x:f>
        <x:v>节点进行中</x:v>
      </x:c>
      <x:c r="D10" s="111" t="str">
        <x:f>IF($J10="","",INDEX('节气整理'!V:V,$J10))</x:f>
        <x:v>机会/进行中</x:v>
      </x:c>
      <x:c r="E10" s="111" t="str">
        <x:f>IF($J10="","",INDEX('节气整理'!W:W,$J10))</x:f>
        <x:v>转化监控/看趋势</x:v>
      </x:c>
      <x:c r="F10" s="111" t="str">
        <x:f>IF($J10="","",INDEX('节气整理'!D:D,$J10))</x:f>
        <x:v>2026-03-01 ~ 2026-10-31</x:v>
      </x:c>
      <x:c r="G10" s="111" t="str">
        <x:f>IF($J10="","",INDEX('节气整理'!F:F,$J10))</x:f>
        <x:v>婚礼伴手礼、bridal party gifts、guest favors、祝福卡</x:v>
      </x:c>
      <x:c r="H10" s="112" t="str">
        <x:f>IF($J10="","",INDEX('节气整理'!K:K,$J10))</x:f>
        <x:v>当前在节点/销售窗口内：这是进行中，不是预热；重点看销量、库存承接、广告花费、转化和是否已出现流量下滑。</x:v>
      </x:c>
      <x:c r="I10" s="111" t="str">
        <x:f>IF($J10="","",INDEX('节气整理'!I:I,$J10))</x:f>
        <x:v>2026-02-15 ~ 2026-07-01：头部SKU每日看，普通SKU每周2次。</x:v>
      </x:c>
      <x:c r="J10" s="111" t="n">
        <x:f>IFERROR(IF(SMALL('节气整理'!$U$2:$U$130,ROWS($J$4:J10))&gt;=90000000,"",MOD(SMALL('节气整理'!$U$2:$U$130,ROWS($J$4:J10)),100000)),"")</x:f>
        <x:v>68</x:v>
      </x:c>
    </x:row>
    <x:row r="11" ht="56" customHeight="1">
      <x:c r="A11" s="111" t="str">
        <x:f>IF($J11="","",INDEX('节气整理'!A:A,$J11))</x:f>
        <x:v>Summer Product Season</x:v>
      </x:c>
      <x:c r="B11" s="111" t="str">
        <x:f>IF($J11="","",INDEX('节气整理'!B:B,$J11))</x:f>
        <x:v>夏季产品季</x:v>
      </x:c>
      <x:c r="C11" s="111" t="str">
        <x:f>IF($J11="","",INDEX('节气整理'!J:J,$J11))</x:f>
        <x:v>节点进行中</x:v>
      </x:c>
      <x:c r="D11" s="111" t="str">
        <x:f>IF($J11="","",INDEX('节气整理'!V:V,$J11))</x:f>
        <x:v>机会/进行中</x:v>
      </x:c>
      <x:c r="E11" s="111" t="str">
        <x:f>IF($J11="","",INDEX('节气整理'!W:W,$J11))</x:f>
        <x:v>转化监控/看趋势</x:v>
      </x:c>
      <x:c r="F11" s="111" t="str">
        <x:f>IF($J11="","",INDEX('节气整理'!D:D,$J11))</x:f>
        <x:v>2026-03-15 ~ 2026-09-30</x:v>
      </x:c>
      <x:c r="G11" s="111" t="str">
        <x:f>IF($J11="","",INDEX('节气整理'!F:F,$J11))</x:f>
        <x:v>夏季户外、旅行、露营、泳池、降温、太阳花/海滩主题产品</x:v>
      </x:c>
      <x:c r="H11" s="112" t="str">
        <x:f>IF($J11="","",INDEX('节气整理'!K:K,$J11))</x:f>
        <x:v>当前在节点/销售窗口内：这是进行中，不是预热；重点看销量、库存承接、广告花费、转化和是否已出现流量下滑。</x:v>
      </x:c>
      <x:c r="I11" s="111" t="str">
        <x:f>IF($J11="","",INDEX('节气整理'!I:I,$J11))</x:f>
        <x:v>2026-03-01 ~ 2026-06-22：头部SKU每日看，普通SKU每周2次。</x:v>
      </x:c>
      <x:c r="J11" s="111" t="n">
        <x:f>IFERROR(IF(SMALL('节气整理'!$U$2:$U$130,ROWS($J$4:J11))&gt;=90000000,"",MOD(SMALL('节气整理'!$U$2:$U$130,ROWS($J$4:J11)),100000)),"")</x:f>
        <x:v>69</x:v>
      </x:c>
    </x:row>
    <x:row r="12" ht="56" customHeight="1">
      <x:c r="A12" s="111" t="str">
        <x:f>IF($J12="","",INDEX('节气整理'!A:A,$J12))</x:f>
        <x:v>Pride Month</x:v>
      </x:c>
      <x:c r="B12" s="111" t="str">
        <x:f>IF($J12="","",INDEX('节气整理'!B:B,$J12))</x:f>
        <x:v>骄傲月/LGBTQ+骄傲月</x:v>
      </x:c>
      <x:c r="C12" s="111" t="str">
        <x:f>IF($J12="","",INDEX('节气整理'!J:J,$J12))</x:f>
        <x:v>高频跟进</x:v>
      </x:c>
      <x:c r="D12" s="111" t="str">
        <x:f>IF($J12="","",INDEX('节气整理'!V:V,$J12))</x:f>
        <x:v>机会/高频</x:v>
      </x:c>
      <x:c r="E12" s="111" t="str">
        <x:f>IF($J12="","",INDEX('节气整理'!W:W,$J12))</x:f>
        <x:v>放量+控ACOS</x:v>
      </x:c>
      <x:c r="F12" s="111" t="str">
        <x:f>IF($J12="","",INDEX('节气整理'!D:D,$J12))</x:f>
        <x:v>2026-06-01 ~ 2026-06-30</x:v>
      </x:c>
      <x:c r="G12" s="111" t="str">
        <x:f>IF($J12="","",INDEX('节气整理'!F:F,$J12))</x:f>
        <x:v>意识/支持类产品：丝带、手链、鼓励卡、贴纸；敏感节点商业化要克制</x:v>
      </x:c>
      <x:c r="H12" s="112" t="str">
        <x:f>IF($J12="","",INDEX('节气整理'!K:K,$J12))</x:f>
        <x:v>今天在高频跟进窗口：头部SKU每日看；重点看高库存、高花费、断货风险和ACOS。</x:v>
      </x:c>
      <x:c r="I12" s="111" t="str">
        <x:f>IF($J12="","",INDEX('节气整理'!I:I,$J12))</x:f>
        <x:v>2026-05-18 ~ 2026-06-15：每2-3天看；表现差或表达风险高就停。</x:v>
      </x:c>
      <x:c r="J12" s="111" t="n">
        <x:f>IFERROR(IF(SMALL('节气整理'!$U$2:$U$130,ROWS($J$4:J12))&gt;=90000000,"",MOD(SMALL('节气整理'!$U$2:$U$130,ROWS($J$4:J12)),100000)),"")</x:f>
        <x:v>70</x:v>
      </x:c>
    </x:row>
    <x:row r="13" ht="56" customHeight="1">
      <x:c r="A13" s="111" t="str">
        <x:f>IF($J13="","",INDEX('节气整理'!A:A,$J13))</x:f>
        <x:v>Flag Day</x:v>
      </x:c>
      <x:c r="B13" s="111" t="str">
        <x:f>IF($J13="","",INDEX('节气整理'!B:B,$J13))</x:f>
        <x:v>美国国旗日</x:v>
      </x:c>
      <x:c r="C13" s="111" t="str">
        <x:f>IF($J13="","",INDEX('节气整理'!J:J,$J13))</x:f>
        <x:v>临近高频</x:v>
      </x:c>
      <x:c r="D13" s="111" t="str">
        <x:f>IF($J13="","",INDEX('节气整理'!V:V,$J13))</x:f>
        <x:v>机会/预热</x:v>
      </x:c>
      <x:c r="E13" s="111" t="str">
        <x:f>IF($J13="","",INDEX('节气整理'!W:W,$J13))</x:f>
        <x:v>预查结构/埋词</x:v>
      </x:c>
      <x:c r="F13" s="111" t="str">
        <x:f>IF($J13="","",INDEX('节气整理'!D:D,$J13))</x:f>
        <x:v>2026-06-14</x:v>
      </x:c>
      <x:c r="G13" s="111" t="str">
        <x:f>IF($J13="","",INDEX('节气整理'!F:F,$J13))</x:f>
        <x:v>patriotic gifts、USA旗帜元素、veteran/military thank you礼品、钥匙扣</x:v>
      </x:c>
      <x:c r="H13" s="112" t="str">
        <x:f>IF($J13="","",INDEX('节气整理'!K:K,$J13))</x:f>
        <x:v>高频窗口即将开始：今天先预查广告结构、关键词/ASIN、Listing埋词、库存承接和预算，避免临近节点再补。</x:v>
      </x:c>
      <x:c r="I13" s="111" t="str">
        <x:f>IF($J13="","",INDEX('节气整理'!I:I,$J13))</x:f>
        <x:v>2026-05-31 ~ 2026-06-16：重点SKU每日看，普通SKU每2-3天看。</x:v>
      </x:c>
      <x:c r="J13" s="111" t="n">
        <x:f>IFERROR(IF(SMALL('节气整理'!$U$2:$U$130,ROWS($J$4:J13))&gt;=90000000,"",MOD(SMALL('节气整理'!$U$2:$U$130,ROWS($J$4:J13)),100000)),"")</x:f>
        <x:v>71</x:v>
      </x:c>
    </x:row>
    <x:row r="14" ht="56" customHeight="1">
      <x:c r="A14" s="111" t="str">
        <x:f>IF($J14="","",INDEX('节气整理'!A:A,$J14))</x:f>
        <x:v>Juneteenth</x:v>
      </x:c>
      <x:c r="B14" s="111" t="str">
        <x:f>IF($J14="","",INDEX('节气整理'!B:B,$J14))</x:f>
        <x:v>六月节/解放日</x:v>
      </x:c>
      <x:c r="C14" s="111" t="str">
        <x:f>IF($J14="","",INDEX('节气整理'!J:J,$J14))</x:f>
        <x:v>临近高频</x:v>
      </x:c>
      <x:c r="D14" s="111" t="str">
        <x:f>IF($J14="","",INDEX('节气整理'!V:V,$J14))</x:f>
        <x:v>机会/预热</x:v>
      </x:c>
      <x:c r="E14" s="111" t="str">
        <x:f>IF($J14="","",INDEX('节气整理'!W:W,$J14))</x:f>
        <x:v>预查结构/埋词</x:v>
      </x:c>
      <x:c r="F14" s="111" t="str">
        <x:f>IF($J14="","",INDEX('节气整理'!D:D,$J14))</x:f>
        <x:v>2026-06-19</x:v>
      </x:c>
      <x:c r="G14" s="111" t="str">
        <x:f>IF($J14="","",INDEX('节气整理'!F:F,$J14))</x:f>
        <x:v>意识/支持类产品：丝带、手链、鼓励卡、贴纸；敏感节点商业化要克制</x:v>
      </x:c>
      <x:c r="H14" s="112" t="str">
        <x:f>IF($J14="","",INDEX('节气整理'!K:K,$J14))</x:f>
        <x:v>高频窗口即将开始：今天先预查广告结构、关键词/ASIN、Listing埋词、库存承接和预算，避免临近节点再补。</x:v>
      </x:c>
      <x:c r="I14" s="111" t="str">
        <x:f>IF($J14="","",INDEX('节气整理'!I:I,$J14))</x:f>
        <x:v>2026-06-05 ~ 2026-06-19：每2-3天看；表现差或表达风险高就停。</x:v>
      </x:c>
      <x:c r="J14" s="111" t="n">
        <x:f>IFERROR(IF(SMALL('节气整理'!$U$2:$U$130,ROWS($J$4:J14))&gt;=90000000,"",MOD(SMALL('节气整理'!$U$2:$U$130,ROWS($J$4:J14)),100000)),"")</x:f>
        <x:v>72</x:v>
      </x:c>
    </x:row>
    <x:row r="15" ht="56" customHeight="1">
      <x:c r="A15" s="111" t="str">
        <x:f>IF($J15="","",INDEX('节气整理'!A:A,$J15))</x:f>
        <x:v>Father's Day</x:v>
      </x:c>
      <x:c r="B15" s="111" t="str">
        <x:f>IF($J15="","",INDEX('节气整理'!B:B,$J15))</x:f>
        <x:v>父亲节</x:v>
      </x:c>
      <x:c r="C15" s="111" t="str">
        <x:f>IF($J15="","",INDEX('节气整理'!J:J,$J15))</x:f>
        <x:v>临近高频</x:v>
      </x:c>
      <x:c r="D15" s="111" t="str">
        <x:f>IF($J15="","",INDEX('节气整理'!V:V,$J15))</x:f>
        <x:v>机会/预热</x:v>
      </x:c>
      <x:c r="E15" s="111" t="str">
        <x:f>IF($J15="","",INDEX('节气整理'!W:W,$J15))</x:f>
        <x:v>预查结构/埋词</x:v>
      </x:c>
      <x:c r="F15" s="111" t="str">
        <x:f>IF($J15="","",INDEX('节气整理'!D:D,$J15))</x:f>
        <x:v>2026-06-21</x:v>
      </x:c>
      <x:c r="G15" s="111" t="str">
        <x:f>IF($J15="","",INDEX('节气整理'!F:F,$J15))</x:f>
        <x:v>dad gifts、father keychain、工具/户外风小礼、感谢卡</x:v>
      </x:c>
      <x:c r="H15" s="112" t="str">
        <x:f>IF($J15="","",INDEX('节气整理'!K:K,$J15))</x:f>
        <x:v>高频窗口即将开始：今天先预查广告结构、关键词/ASIN、Listing埋词、库存承接和预算，避免临近节点再补。</x:v>
      </x:c>
      <x:c r="I15" s="111" t="str">
        <x:f>IF($J15="","",INDEX('节气整理'!I:I,$J15))</x:f>
        <x:v>2026-05-31 ~ 2026-06-24：头部SKU每日看，过后及时降投/清尾。</x:v>
      </x:c>
      <x:c r="J15" s="111" t="n">
        <x:f>IFERROR(IF(SMALL('节气整理'!$U$2:$U$130,ROWS($J$4:J15))&gt;=90000000,"",MOD(SMALL('节气整理'!$U$2:$U$130,ROWS($J$4:J15)),100000)),"")</x:f>
        <x:v>73</x:v>
      </x:c>
    </x:row>
    <x:row r="16" ht="56" customHeight="1">
      <x:c r="A16" s="111" t="str">
        <x:f>IF($J16="","",INDEX('节气整理'!A:A,$J16))</x:f>
        <x:v>CNA Week / National Nursing Assistants Week</x:v>
      </x:c>
      <x:c r="B16" s="111" t="str">
        <x:f>IF($J16="","",INDEX('节气整理'!B:B,$J16))</x:f>
        <x:v>CNA护理助理周/护理助理周</x:v>
      </x:c>
      <x:c r="C16" s="111" t="str">
        <x:f>IF($J16="","",INDEX('节气整理'!J:J,$J16))</x:f>
        <x:v>临近高频</x:v>
      </x:c>
      <x:c r="D16" s="111" t="str">
        <x:f>IF($J16="","",INDEX('节气整理'!V:V,$J16))</x:f>
        <x:v>机会/预热</x:v>
      </x:c>
      <x:c r="E16" s="111" t="str">
        <x:f>IF($J16="","",INDEX('节气整理'!W:W,$J16))</x:f>
        <x:v>预查结构/埋词</x:v>
      </x:c>
      <x:c r="F16" s="111" t="str">
        <x:f>IF($J16="","",INDEX('节气整理'!D:D,$J16))</x:f>
        <x:v>2026-06-11 ~ 2026-06-17</x:v>
      </x:c>
      <x:c r="G16" s="111" t="str">
        <x:f>IF($J16="","",INDEX('节气整理'!F:F,$J16))</x:f>
        <x:v>CNA gifts、nursing assistant感谢礼、badge reel、钥匙扣</x:v>
      </x:c>
      <x:c r="H16" s="112" t="str">
        <x:f>IF($J16="","",INDEX('节气整理'!K:K,$J16))</x:f>
        <x:v>高频窗口即将开始：今天先预查广告结构、关键词/ASIN、Listing埋词、库存承接和预算，避免临近节点再补。</x:v>
      </x:c>
      <x:c r="I16" s="111" t="str">
        <x:f>IF($J16="","",INDEX('节气整理'!I:I,$J16))</x:f>
        <x:v>2026-05-28 ~ 2026-06-17：高库存/高花费SKU每日看，其余2-3天看。</x:v>
      </x:c>
      <x:c r="J16" s="111" t="n">
        <x:f>IFERROR(IF(SMALL('节气整理'!$U$2:$U$130,ROWS($J$4:J16))&gt;=90000000,"",MOD(SMALL('节气整理'!$U$2:$U$130,ROWS($J$4:J16)),100000)),"")</x:f>
        <x:v>74</x:v>
      </x:c>
    </x:row>
    <x:row r="17" ht="56" customHeight="1">
      <x:c r="A17" s="111" t="str">
        <x:f>IF($J17="","",INDEX('节气整理'!A:A,$J17))</x:f>
        <x:v>Independence Day</x:v>
      </x:c>
      <x:c r="B17" s="111" t="str">
        <x:f>IF($J17="","",INDEX('节气整理'!B:B,$J17))</x:f>
        <x:v>美国独立日</x:v>
      </x:c>
      <x:c r="C17" s="111" t="str">
        <x:f>IF($J17="","",INDEX('节气整理'!J:J,$J17))</x:f>
        <x:v>大节气提前</x:v>
      </x:c>
      <x:c r="D17" s="111" t="str">
        <x:f>IF($J17="","",INDEX('节气整理'!V:V,$J17))</x:f>
        <x:v>机会/大节气提前</x:v>
      </x:c>
      <x:c r="E17" s="111" t="str">
        <x:f>IF($J17="","",INDEX('节气整理'!W:W,$J17))</x:f>
        <x:v>提前锁结构/预算</x:v>
      </x:c>
      <x:c r="F17" s="111" t="str">
        <x:f>IF($J17="","",INDEX('节气整理'!D:D,$J17))</x:f>
        <x:v>2026-07-04</x:v>
      </x:c>
      <x:c r="G17" s="111" t="str">
        <x:f>IF($J17="","",INDEX('节气整理'!F:F,$J17))</x:f>
        <x:v>patriotic gifts、USA旗帜元素、veteran/military thank you礼品、钥匙扣</x:v>
      </x:c>
      <x:c r="H17" s="112" t="str">
        <x:f>IF($J17="","",INDEX('节气整理'!K:K,$J17))</x:f>
        <x:v>大节气提前窗口：不要等高频当天再动；今天先锁定主推SKU、库存承接、Listing节日词、广告结构和预算上限，低相关/低库存产品不硬推。</x:v>
      </x:c>
      <x:c r="I17" s="111" t="str">
        <x:f>IF($J17="","",INDEX('节气整理'!I:I,$J17))</x:f>
        <x:v>2026-06-13 ~ 2026-07-07：头部SKU每日看，过后及时降投/清尾。</x:v>
      </x:c>
      <x:c r="J17" s="111" t="n">
        <x:f>IFERROR(IF(SMALL('节气整理'!$U$2:$U$130,ROWS($J$4:J17))&gt;=90000000,"",MOD(SMALL('节气整理'!$U$2:$U$130,ROWS($J$4:J17)),100000)),"")</x:f>
        <x:v>75</x:v>
      </x:c>
    </x:row>
    <x:row r="18" ht="56" customHeight="1">
      <x:c r="A18" s="111" t="str">
        <x:f>IF($J18="","",INDEX('节气整理'!A:A,$J18))</x:f>
        <x:v>Back-to-School Season</x:v>
      </x:c>
      <x:c r="B18" s="111" t="str">
        <x:f>IF($J18="","",INDEX('节气整理'!B:B,$J18))</x:f>
        <x:v>返校季/开学季</x:v>
      </x:c>
      <x:c r="C18" s="111" t="str">
        <x:f>IF($J18="","",INDEX('节气整理'!J:J,$J18))</x:f>
        <x:v>临近二次</x:v>
      </x:c>
      <x:c r="D18" s="111" t="str">
        <x:f>IF($J18="","",INDEX('节气整理'!V:V,$J18))</x:f>
        <x:v>机会/预热</x:v>
      </x:c>
      <x:c r="E18" s="111" t="str">
        <x:f>IF($J18="","",INDEX('节气整理'!W:W,$J18))</x:f>
        <x:v>提前补结构/埋词</x:v>
      </x:c>
      <x:c r="F18" s="111" t="str">
        <x:f>IF($J18="","",INDEX('节气整理'!D:D,$J18))</x:f>
        <x:v>2026-07-20 ~ 2026-09-10</x:v>
      </x:c>
      <x:c r="G18" s="111" t="str">
        <x:f>IF($J18="","",INDEX('节气整理'!F:F,$J18))</x:f>
        <x:v>文具、书签、收纳、宿舍装饰、老师/学生礼、课堂用品</x:v>
      </x:c>
      <x:c r="H18" s="112" t="str">
        <x:f>IF($J18="","",INDEX('节气整理'!K:K,$J18))</x:f>
        <x:v>大节气二次排查即将开始：提前准备词/ASIN/图片/价格/促销，不等窗口当天才补结构。</x:v>
      </x:c>
      <x:c r="I18" s="111" t="str">
        <x:f>IF($J18="","",INDEX('节气整理'!I:I,$J18))</x:f>
        <x:v>2026-07-06 ~ 2026-08-15：头部SKU每日看，普通SKU每周2次。</x:v>
      </x:c>
      <x:c r="J18" s="111" t="n">
        <x:f>IFERROR(IF(SMALL('节气整理'!$U$2:$U$130,ROWS($J$4:J18))&gt;=90000000,"",MOD(SMALL('节气整理'!$U$2:$U$130,ROWS($J$4:J18)),100000)),"")</x:f>
        <x:v>78</x:v>
      </x:c>
    </x:row>
    <x:row r="19" ht="56" customHeight="1">
      <x:c r="A19" s="111" t="str">
        <x:f>IF($J19="","",INDEX('节气整理'!A:A,$J19))</x:f>
        <x:v>Football Season</x:v>
      </x:c>
      <x:c r="B19" s="111" t="str">
        <x:f>IF($J19="","",INDEX('节气整理'!B:B,$J19))</x:f>
        <x:v>橄榄球赛季</x:v>
      </x:c>
      <x:c r="C19" s="111" t="str">
        <x:f>IF($J19="","",INDEX('节气整理'!J:J,$J19))</x:f>
        <x:v>一次排查</x:v>
      </x:c>
      <x:c r="D19" s="111" t="str">
        <x:f>IF($J19="","",INDEX('节气整理'!V:V,$J19))</x:f>
        <x:v>机会/预热</x:v>
      </x:c>
      <x:c r="E19" s="111" t="str">
        <x:f>IF($J19="","",INDEX('节气整理'!W:W,$J19))</x:f>
        <x:v>筛SKU/核库存</x:v>
      </x:c>
      <x:c r="F19" s="111" t="str">
        <x:f>IF($J19="","",INDEX('节气整理'!D:D,$J19))</x:f>
        <x:v>2026-08-20 ~ 2027-02-15</x:v>
      </x:c>
      <x:c r="G19" s="111" t="str">
        <x:f>IF($J19="","",INDEX('节气整理'!F:F,$J19))</x:f>
        <x:v>派对装饰、杯具、观赛小物、球队色系配件、sports gifts</x:v>
      </x:c>
      <x:c r="H19" s="112" t="str">
        <x:f>IF($J19="","",INDEX('节气整理'!K:K,$J19))</x:f>
        <x:v>今天在一次排查窗口：先筛SKU，看历史动销、库存、利润和Listing匹配。</x:v>
      </x:c>
      <x:c r="I19" s="111" t="str">
        <x:f>IF($J19="","",INDEX('节气整理'!I:I,$J19))</x:f>
        <x:v>2026-08-06 ~ 2026-11-17：头部SKU每日看，普通SKU每周2次。</x:v>
      </x:c>
      <x:c r="J19" s="111" t="n">
        <x:f>IFERROR(IF(SMALL('节气整理'!$U$2:$U$130,ROWS($J$4:J19))&gt;=90000000,"",MOD(SMALL('节气整理'!$U$2:$U$130,ROWS($J$4:J19)),100000)),"")</x:f>
        <x:v>79</x:v>
      </x:c>
    </x:row>
    <x:row r="20" ht="56" customHeight="1">
      <x:c r="A20" s="111" t="str">
        <x:f>IF($J20="","",INDEX('节气整理'!A:A,$J20))</x:f>
      </x:c>
      <x:c r="B20" s="111" t="str">
        <x:f>IF($J20="","",INDEX('节气整理'!B:B,$J20))</x:f>
      </x:c>
      <x:c r="C20" s="111" t="str">
        <x:f>IF($J20="","",INDEX('节气整理'!J:J,$J20))</x:f>
      </x:c>
      <x:c r="D20" s="111" t="str">
        <x:f>IF($J20="","",INDEX('节气整理'!V:V,$J20))</x:f>
      </x:c>
      <x:c r="E20" s="111" t="str">
        <x:f>IF($J20="","",INDEX('节气整理'!W:W,$J20))</x:f>
      </x:c>
      <x:c r="F20" s="111" t="str">
        <x:f>IF($J20="","",INDEX('节气整理'!D:D,$J20))</x:f>
      </x:c>
      <x:c r="G20" s="111" t="str">
        <x:f>IF($J20="","",INDEX('节气整理'!F:F,$J20))</x:f>
      </x:c>
      <x:c r="H20" s="112" t="str">
        <x:f>IF($J20="","",INDEX('节气整理'!K:K,$J20))</x:f>
      </x:c>
      <x:c r="I20" s="111" t="str">
        <x:f>IF($J20="","",INDEX('节气整理'!I:I,$J20))</x:f>
      </x:c>
      <x:c r="J20" s="111" t="str">
        <x:f>IFERROR(IF(SMALL('节气整理'!$U$2:$U$130,ROWS($J$4:J20))&gt;=90000000,"",MOD(SMALL('节气整理'!$U$2:$U$130,ROWS($J$4:J20)),100000)),"")</x:f>
      </x:c>
    </x:row>
    <x:row r="21" ht="56" customHeight="1">
      <x:c r="A21" s="111" t="str">
        <x:f>IF($J21="","",INDEX('节气整理'!A:A,$J21))</x:f>
      </x:c>
      <x:c r="B21" s="111" t="str">
        <x:f>IF($J21="","",INDEX('节气整理'!B:B,$J21))</x:f>
      </x:c>
      <x:c r="C21" s="111" t="str">
        <x:f>IF($J21="","",INDEX('节气整理'!J:J,$J21))</x:f>
      </x:c>
      <x:c r="D21" s="111" t="str">
        <x:f>IF($J21="","",INDEX('节气整理'!V:V,$J21))</x:f>
      </x:c>
      <x:c r="E21" s="111" t="str">
        <x:f>IF($J21="","",INDEX('节气整理'!W:W,$J21))</x:f>
      </x:c>
      <x:c r="F21" s="111" t="str">
        <x:f>IF($J21="","",INDEX('节气整理'!D:D,$J21))</x:f>
      </x:c>
      <x:c r="G21" s="111" t="str">
        <x:f>IF($J21="","",INDEX('节气整理'!F:F,$J21))</x:f>
      </x:c>
      <x:c r="H21" s="112" t="str">
        <x:f>IF($J21="","",INDEX('节气整理'!K:K,$J21))</x:f>
      </x:c>
      <x:c r="I21" s="111" t="str">
        <x:f>IF($J21="","",INDEX('节气整理'!I:I,$J21))</x:f>
      </x:c>
      <x:c r="J21" s="111" t="str">
        <x:f>IFERROR(IF(SMALL('节气整理'!$U$2:$U$130,ROWS($J$4:J21))&gt;=90000000,"",MOD(SMALL('节气整理'!$U$2:$U$130,ROWS($J$4:J21)),100000)),"")</x:f>
      </x:c>
    </x:row>
    <x:row r="22" ht="56" customHeight="1">
      <x:c r="A22" s="111" t="str">
        <x:f>IF($J22="","",INDEX('节气整理'!A:A,$J22))</x:f>
      </x:c>
      <x:c r="B22" s="111" t="str">
        <x:f>IF($J22="","",INDEX('节气整理'!B:B,$J22))</x:f>
      </x:c>
      <x:c r="C22" s="111" t="str">
        <x:f>IF($J22="","",INDEX('节气整理'!J:J,$J22))</x:f>
      </x:c>
      <x:c r="D22" s="111" t="str">
        <x:f>IF($J22="","",INDEX('节气整理'!V:V,$J22))</x:f>
      </x:c>
      <x:c r="E22" s="111" t="str">
        <x:f>IF($J22="","",INDEX('节气整理'!W:W,$J22))</x:f>
      </x:c>
      <x:c r="F22" s="111" t="str">
        <x:f>IF($J22="","",INDEX('节气整理'!D:D,$J22))</x:f>
      </x:c>
      <x:c r="G22" s="111" t="str">
        <x:f>IF($J22="","",INDEX('节气整理'!F:F,$J22))</x:f>
      </x:c>
      <x:c r="H22" s="112" t="str">
        <x:f>IF($J22="","",INDEX('节气整理'!K:K,$J22))</x:f>
      </x:c>
      <x:c r="I22" s="111" t="str">
        <x:f>IF($J22="","",INDEX('节气整理'!I:I,$J22))</x:f>
      </x:c>
      <x:c r="J22" s="111" t="str">
        <x:f>IFERROR(IF(SMALL('节气整理'!$U$2:$U$130,ROWS($J$4:J22))&gt;=90000000,"",MOD(SMALL('节气整理'!$U$2:$U$130,ROWS($J$4:J22)),100000)),"")</x:f>
      </x:c>
    </x:row>
    <x:row r="23" ht="56" customHeight="1">
      <x:c r="A23" s="111" t="str">
        <x:f>IF($J23="","",INDEX('节气整理'!A:A,$J23))</x:f>
      </x:c>
      <x:c r="B23" s="111" t="str">
        <x:f>IF($J23="","",INDEX('节气整理'!B:B,$J23))</x:f>
      </x:c>
      <x:c r="C23" s="111" t="str">
        <x:f>IF($J23="","",INDEX('节气整理'!J:J,$J23))</x:f>
      </x:c>
      <x:c r="D23" s="111" t="str">
        <x:f>IF($J23="","",INDEX('节气整理'!V:V,$J23))</x:f>
      </x:c>
      <x:c r="E23" s="111" t="str">
        <x:f>IF($J23="","",INDEX('节气整理'!W:W,$J23))</x:f>
      </x:c>
      <x:c r="F23" s="111" t="str">
        <x:f>IF($J23="","",INDEX('节气整理'!D:D,$J23))</x:f>
      </x:c>
      <x:c r="G23" s="111" t="str">
        <x:f>IF($J23="","",INDEX('节气整理'!F:F,$J23))</x:f>
      </x:c>
      <x:c r="H23" s="112" t="str">
        <x:f>IF($J23="","",INDEX('节气整理'!K:K,$J23))</x:f>
      </x:c>
      <x:c r="I23" s="111" t="str">
        <x:f>IF($J23="","",INDEX('节气整理'!I:I,$J23))</x:f>
      </x:c>
      <x:c r="J23" s="111" t="str">
        <x:f>IFERROR(IF(SMALL('节气整理'!$U$2:$U$130,ROWS($J$4:J23))&gt;=90000000,"",MOD(SMALL('节气整理'!$U$2:$U$130,ROWS($J$4:J23)),100000)),"")</x:f>
      </x:c>
    </x:row>
    <x:row r="24" ht="56" customHeight="1">
      <x:c r="A24" s="111" t="str">
        <x:f>IF($J24="","",INDEX('节气整理'!A:A,$J24))</x:f>
      </x:c>
      <x:c r="B24" s="111" t="str">
        <x:f>IF($J24="","",INDEX('节气整理'!B:B,$J24))</x:f>
      </x:c>
      <x:c r="C24" s="111" t="str">
        <x:f>IF($J24="","",INDEX('节气整理'!J:J,$J24))</x:f>
      </x:c>
      <x:c r="D24" s="111" t="str">
        <x:f>IF($J24="","",INDEX('节气整理'!V:V,$J24))</x:f>
      </x:c>
      <x:c r="E24" s="111" t="str">
        <x:f>IF($J24="","",INDEX('节气整理'!W:W,$J24))</x:f>
      </x:c>
      <x:c r="F24" s="111" t="str">
        <x:f>IF($J24="","",INDEX('节气整理'!D:D,$J24))</x:f>
      </x:c>
      <x:c r="G24" s="111" t="str">
        <x:f>IF($J24="","",INDEX('节气整理'!F:F,$J24))</x:f>
      </x:c>
      <x:c r="H24" s="112" t="str">
        <x:f>IF($J24="","",INDEX('节气整理'!K:K,$J24))</x:f>
      </x:c>
      <x:c r="I24" s="111" t="str">
        <x:f>IF($J24="","",INDEX('节气整理'!I:I,$J24))</x:f>
      </x:c>
      <x:c r="J24" s="111" t="str">
        <x:f>IFERROR(IF(SMALL('节气整理'!$U$2:$U$130,ROWS($J$4:J24))&gt;=90000000,"",MOD(SMALL('节气整理'!$U$2:$U$130,ROWS($J$4:J24)),100000)),"")</x:f>
      </x:c>
    </x:row>
    <x:row r="25" ht="56" customHeight="1">
      <x:c r="A25" s="111" t="str">
        <x:f>IF($J25="","",INDEX('节气整理'!A:A,$J25))</x:f>
      </x:c>
      <x:c r="B25" s="111" t="str">
        <x:f>IF($J25="","",INDEX('节气整理'!B:B,$J25))</x:f>
      </x:c>
      <x:c r="C25" s="111" t="str">
        <x:f>IF($J25="","",INDEX('节气整理'!J:J,$J25))</x:f>
      </x:c>
      <x:c r="D25" s="111" t="str">
        <x:f>IF($J25="","",INDEX('节气整理'!V:V,$J25))</x:f>
      </x:c>
      <x:c r="E25" s="111" t="str">
        <x:f>IF($J25="","",INDEX('节气整理'!W:W,$J25))</x:f>
      </x:c>
      <x:c r="F25" s="111" t="str">
        <x:f>IF($J25="","",INDEX('节气整理'!D:D,$J25))</x:f>
      </x:c>
      <x:c r="G25" s="111" t="str">
        <x:f>IF($J25="","",INDEX('节气整理'!F:F,$J25))</x:f>
      </x:c>
      <x:c r="H25" s="112" t="str">
        <x:f>IF($J25="","",INDEX('节气整理'!K:K,$J25))</x:f>
      </x:c>
      <x:c r="I25" s="111" t="str">
        <x:f>IF($J25="","",INDEX('节气整理'!I:I,$J25))</x:f>
      </x:c>
      <x:c r="J25" s="111" t="str">
        <x:f>IFERROR(IF(SMALL('节气整理'!$U$2:$U$130,ROWS($J$4:J25))&gt;=90000000,"",MOD(SMALL('节气整理'!$U$2:$U$130,ROWS($J$4:J25)),100000)),"")</x:f>
      </x:c>
    </x:row>
    <x:row r="26" ht="56" customHeight="1">
      <x:c r="A26" s="111" t="str">
        <x:f>IF($J26="","",INDEX('节气整理'!A:A,$J26))</x:f>
      </x:c>
      <x:c r="B26" s="111" t="str">
        <x:f>IF($J26="","",INDEX('节气整理'!B:B,$J26))</x:f>
      </x:c>
      <x:c r="C26" s="111" t="str">
        <x:f>IF($J26="","",INDEX('节气整理'!J:J,$J26))</x:f>
      </x:c>
      <x:c r="D26" s="111" t="str">
        <x:f>IF($J26="","",INDEX('节气整理'!V:V,$J26))</x:f>
      </x:c>
      <x:c r="E26" s="111" t="str">
        <x:f>IF($J26="","",INDEX('节气整理'!W:W,$J26))</x:f>
      </x:c>
      <x:c r="F26" s="111" t="str">
        <x:f>IF($J26="","",INDEX('节气整理'!D:D,$J26))</x:f>
      </x:c>
      <x:c r="G26" s="111" t="str">
        <x:f>IF($J26="","",INDEX('节气整理'!F:F,$J26))</x:f>
      </x:c>
      <x:c r="H26" s="112" t="str">
        <x:f>IF($J26="","",INDEX('节气整理'!K:K,$J26))</x:f>
      </x:c>
      <x:c r="I26" s="111" t="str">
        <x:f>IF($J26="","",INDEX('节气整理'!I:I,$J26))</x:f>
      </x:c>
      <x:c r="J26" s="111" t="str">
        <x:f>IFERROR(IF(SMALL('节气整理'!$U$2:$U$130,ROWS($J$4:J26))&gt;=90000000,"",MOD(SMALL('节气整理'!$U$2:$U$130,ROWS($J$4:J26)),100000)),"")</x:f>
      </x:c>
    </x:row>
    <x:row r="27" ht="56" customHeight="1">
      <x:c r="A27" s="111" t="str">
        <x:f>IF($J27="","",INDEX('节气整理'!A:A,$J27))</x:f>
      </x:c>
      <x:c r="B27" s="111" t="str">
        <x:f>IF($J27="","",INDEX('节气整理'!B:B,$J27))</x:f>
      </x:c>
      <x:c r="C27" s="111" t="str">
        <x:f>IF($J27="","",INDEX('节气整理'!J:J,$J27))</x:f>
      </x:c>
      <x:c r="D27" s="111" t="str">
        <x:f>IF($J27="","",INDEX('节气整理'!V:V,$J27))</x:f>
      </x:c>
      <x:c r="E27" s="111" t="str">
        <x:f>IF($J27="","",INDEX('节气整理'!W:W,$J27))</x:f>
      </x:c>
      <x:c r="F27" s="111" t="str">
        <x:f>IF($J27="","",INDEX('节气整理'!D:D,$J27))</x:f>
      </x:c>
      <x:c r="G27" s="111" t="str">
        <x:f>IF($J27="","",INDEX('节气整理'!F:F,$J27))</x:f>
      </x:c>
      <x:c r="H27" s="112" t="str">
        <x:f>IF($J27="","",INDEX('节气整理'!K:K,$J27))</x:f>
      </x:c>
      <x:c r="I27" s="111" t="str">
        <x:f>IF($J27="","",INDEX('节气整理'!I:I,$J27))</x:f>
      </x:c>
      <x:c r="J27" s="111" t="str">
        <x:f>IFERROR(IF(SMALL('节气整理'!$U$2:$U$130,ROWS($J$4:J27))&gt;=90000000,"",MOD(SMALL('节气整理'!$U$2:$U$130,ROWS($J$4:J27)),100000)),"")</x:f>
      </x:c>
    </x:row>
    <x:row r="28" ht="56" customHeight="1">
      <x:c r="A28" s="111" t="str">
        <x:f>IF($J28="","",INDEX('节气整理'!A:A,$J28))</x:f>
      </x:c>
      <x:c r="B28" s="111" t="str">
        <x:f>IF($J28="","",INDEX('节气整理'!B:B,$J28))</x:f>
      </x:c>
      <x:c r="C28" s="111" t="str">
        <x:f>IF($J28="","",INDEX('节气整理'!J:J,$J28))</x:f>
      </x:c>
      <x:c r="D28" s="111" t="str">
        <x:f>IF($J28="","",INDEX('节气整理'!V:V,$J28))</x:f>
      </x:c>
      <x:c r="E28" s="111" t="str">
        <x:f>IF($J28="","",INDEX('节气整理'!W:W,$J28))</x:f>
      </x:c>
      <x:c r="F28" s="111" t="str">
        <x:f>IF($J28="","",INDEX('节气整理'!D:D,$J28))</x:f>
      </x:c>
      <x:c r="G28" s="111" t="str">
        <x:f>IF($J28="","",INDEX('节气整理'!F:F,$J28))</x:f>
      </x:c>
      <x:c r="H28" s="112" t="str">
        <x:f>IF($J28="","",INDEX('节气整理'!K:K,$J28))</x:f>
      </x:c>
      <x:c r="I28" s="111" t="str">
        <x:f>IF($J28="","",INDEX('节气整理'!I:I,$J28))</x:f>
      </x:c>
      <x:c r="J28" s="111" t="str">
        <x:f>IFERROR(IF(SMALL('节气整理'!$U$2:$U$130,ROWS($J$4:J28))&gt;=90000000,"",MOD(SMALL('节气整理'!$U$2:$U$130,ROWS($J$4:J28)),100000)),"")</x:f>
      </x:c>
    </x:row>
    <x:row r="29" ht="56" customHeight="1">
      <x:c r="A29" s="111" t="str">
        <x:f>IF($J29="","",INDEX('节气整理'!A:A,$J29))</x:f>
      </x:c>
      <x:c r="B29" s="111" t="str">
        <x:f>IF($J29="","",INDEX('节气整理'!B:B,$J29))</x:f>
      </x:c>
      <x:c r="C29" s="111" t="str">
        <x:f>IF($J29="","",INDEX('节气整理'!J:J,$J29))</x:f>
      </x:c>
      <x:c r="D29" s="111" t="str">
        <x:f>IF($J29="","",INDEX('节气整理'!V:V,$J29))</x:f>
      </x:c>
      <x:c r="E29" s="111" t="str">
        <x:f>IF($J29="","",INDEX('节气整理'!W:W,$J29))</x:f>
      </x:c>
      <x:c r="F29" s="111" t="str">
        <x:f>IF($J29="","",INDEX('节气整理'!D:D,$J29))</x:f>
      </x:c>
      <x:c r="G29" s="111" t="str">
        <x:f>IF($J29="","",INDEX('节气整理'!F:F,$J29))</x:f>
      </x:c>
      <x:c r="H29" s="112" t="str">
        <x:f>IF($J29="","",INDEX('节气整理'!K:K,$J29))</x:f>
      </x:c>
      <x:c r="I29" s="111" t="str">
        <x:f>IF($J29="","",INDEX('节气整理'!I:I,$J29))</x:f>
      </x:c>
      <x:c r="J29" s="111" t="str">
        <x:f>IFERROR(IF(SMALL('节气整理'!$U$2:$U$130,ROWS($J$4:J29))&gt;=90000000,"",MOD(SMALL('节气整理'!$U$2:$U$130,ROWS($J$4:J29)),100000)),"")</x:f>
      </x:c>
    </x:row>
    <x:row r="30" ht="56" customHeight="1">
      <x:c r="A30" s="111" t="str">
        <x:f>IF($J30="","",INDEX('节气整理'!A:A,$J30))</x:f>
      </x:c>
      <x:c r="B30" s="111" t="str">
        <x:f>IF($J30="","",INDEX('节气整理'!B:B,$J30))</x:f>
      </x:c>
      <x:c r="C30" s="111" t="str">
        <x:f>IF($J30="","",INDEX('节气整理'!J:J,$J30))</x:f>
      </x:c>
      <x:c r="D30" s="111" t="str">
        <x:f>IF($J30="","",INDEX('节气整理'!V:V,$J30))</x:f>
      </x:c>
      <x:c r="E30" s="111" t="str">
        <x:f>IF($J30="","",INDEX('节气整理'!W:W,$J30))</x:f>
      </x:c>
      <x:c r="F30" s="111" t="str">
        <x:f>IF($J30="","",INDEX('节气整理'!D:D,$J30))</x:f>
      </x:c>
      <x:c r="G30" s="111" t="str">
        <x:f>IF($J30="","",INDEX('节气整理'!F:F,$J30))</x:f>
      </x:c>
      <x:c r="H30" s="112" t="str">
        <x:f>IF($J30="","",INDEX('节气整理'!K:K,$J30))</x:f>
      </x:c>
      <x:c r="I30" s="111" t="str">
        <x:f>IF($J30="","",INDEX('节气整理'!I:I,$J30))</x:f>
      </x:c>
      <x:c r="J30" s="111" t="str">
        <x:f>IFERROR(IF(SMALL('节气整理'!$U$2:$U$130,ROWS($J$4:J30))&gt;=90000000,"",MOD(SMALL('节气整理'!$U$2:$U$130,ROWS($J$4:J30)),100000)),"")</x:f>
      </x:c>
    </x:row>
    <x:row r="31" ht="56" customHeight="1">
      <x:c r="A31" s="111" t="str">
        <x:f>IF($J31="","",INDEX('节气整理'!A:A,$J31))</x:f>
      </x:c>
      <x:c r="B31" s="111" t="str">
        <x:f>IF($J31="","",INDEX('节气整理'!B:B,$J31))</x:f>
      </x:c>
      <x:c r="C31" s="111" t="str">
        <x:f>IF($J31="","",INDEX('节气整理'!J:J,$J31))</x:f>
      </x:c>
      <x:c r="D31" s="111" t="str">
        <x:f>IF($J31="","",INDEX('节气整理'!V:V,$J31))</x:f>
      </x:c>
      <x:c r="E31" s="111" t="str">
        <x:f>IF($J31="","",INDEX('节气整理'!W:W,$J31))</x:f>
      </x:c>
      <x:c r="F31" s="111" t="str">
        <x:f>IF($J31="","",INDEX('节气整理'!D:D,$J31))</x:f>
      </x:c>
      <x:c r="G31" s="111" t="str">
        <x:f>IF($J31="","",INDEX('节气整理'!F:F,$J31))</x:f>
      </x:c>
      <x:c r="H31" s="112" t="str">
        <x:f>IF($J31="","",INDEX('节气整理'!K:K,$J31))</x:f>
      </x:c>
      <x:c r="I31" s="111" t="str">
        <x:f>IF($J31="","",INDEX('节气整理'!I:I,$J31))</x:f>
      </x:c>
      <x:c r="J31" s="111" t="str">
        <x:f>IFERROR(IF(SMALL('节气整理'!$U$2:$U$130,ROWS($J$4:J31))&gt;=90000000,"",MOD(SMALL('节气整理'!$U$2:$U$130,ROWS($J$4:J31)),100000)),"")</x:f>
      </x:c>
    </x:row>
    <x:row r="32" ht="56" customHeight="1">
      <x:c r="A32" s="111" t="str">
        <x:f>IF($J32="","",INDEX('节气整理'!A:A,$J32))</x:f>
      </x:c>
      <x:c r="B32" s="111" t="str">
        <x:f>IF($J32="","",INDEX('节气整理'!B:B,$J32))</x:f>
      </x:c>
      <x:c r="C32" s="111" t="str">
        <x:f>IF($J32="","",INDEX('节气整理'!J:J,$J32))</x:f>
      </x:c>
      <x:c r="D32" s="111" t="str">
        <x:f>IF($J32="","",INDEX('节气整理'!V:V,$J32))</x:f>
      </x:c>
      <x:c r="E32" s="111" t="str">
        <x:f>IF($J32="","",INDEX('节气整理'!W:W,$J32))</x:f>
      </x:c>
      <x:c r="F32" s="111" t="str">
        <x:f>IF($J32="","",INDEX('节气整理'!D:D,$J32))</x:f>
      </x:c>
      <x:c r="G32" s="111" t="str">
        <x:f>IF($J32="","",INDEX('节气整理'!F:F,$J32))</x:f>
      </x:c>
      <x:c r="H32" s="112" t="str">
        <x:f>IF($J32="","",INDEX('节气整理'!K:K,$J32))</x:f>
      </x:c>
      <x:c r="I32" s="111" t="str">
        <x:f>IF($J32="","",INDEX('节气整理'!I:I,$J32))</x:f>
      </x:c>
      <x:c r="J32" s="111" t="str">
        <x:f>IFERROR(IF(SMALL('节气整理'!$U$2:$U$130,ROWS($J$4:J32))&gt;=90000000,"",MOD(SMALL('节气整理'!$U$2:$U$130,ROWS($J$4:J32)),100000)),"")</x:f>
      </x:c>
    </x:row>
    <x:row r="33" ht="56" customHeight="1">
      <x:c r="A33" s="111" t="str">
        <x:f>IF($J33="","",INDEX('节气整理'!A:A,$J33))</x:f>
      </x:c>
      <x:c r="B33" s="111" t="str">
        <x:f>IF($J33="","",INDEX('节气整理'!B:B,$J33))</x:f>
      </x:c>
      <x:c r="C33" s="111" t="str">
        <x:f>IF($J33="","",INDEX('节气整理'!J:J,$J33))</x:f>
      </x:c>
      <x:c r="D33" s="111" t="str">
        <x:f>IF($J33="","",INDEX('节气整理'!V:V,$J33))</x:f>
      </x:c>
      <x:c r="E33" s="111" t="str">
        <x:f>IF($J33="","",INDEX('节气整理'!W:W,$J33))</x:f>
      </x:c>
      <x:c r="F33" s="111" t="str">
        <x:f>IF($J33="","",INDEX('节气整理'!D:D,$J33))</x:f>
      </x:c>
      <x:c r="G33" s="111" t="str">
        <x:f>IF($J33="","",INDEX('节气整理'!F:F,$J33))</x:f>
      </x:c>
      <x:c r="H33" s="112" t="str">
        <x:f>IF($J33="","",INDEX('节气整理'!K:K,$J33))</x:f>
      </x:c>
      <x:c r="I33" s="111" t="str">
        <x:f>IF($J33="","",INDEX('节气整理'!I:I,$J33))</x:f>
      </x:c>
      <x:c r="J33" s="111" t="str">
        <x:f>IFERROR(IF(SMALL('节气整理'!$U$2:$U$130,ROWS($J$4:J33))&gt;=90000000,"",MOD(SMALL('节气整理'!$U$2:$U$130,ROWS($J$4:J33)),100000)),"")</x:f>
      </x:c>
    </x:row>
    <x:row r="34" ht="56" customHeight="1">
      <x:c r="A34" s="111" t="str">
        <x:f>IF($J34="","",INDEX('节气整理'!A:A,$J34))</x:f>
      </x:c>
      <x:c r="B34" s="111" t="str">
        <x:f>IF($J34="","",INDEX('节气整理'!B:B,$J34))</x:f>
      </x:c>
      <x:c r="C34" s="111" t="str">
        <x:f>IF($J34="","",INDEX('节气整理'!J:J,$J34))</x:f>
      </x:c>
      <x:c r="D34" s="111" t="str">
        <x:f>IF($J34="","",INDEX('节气整理'!V:V,$J34))</x:f>
      </x:c>
      <x:c r="E34" s="111" t="str">
        <x:f>IF($J34="","",INDEX('节气整理'!W:W,$J34))</x:f>
      </x:c>
      <x:c r="F34" s="111" t="str">
        <x:f>IF($J34="","",INDEX('节气整理'!D:D,$J34))</x:f>
      </x:c>
      <x:c r="G34" s="111" t="str">
        <x:f>IF($J34="","",INDEX('节气整理'!F:F,$J34))</x:f>
      </x:c>
      <x:c r="H34" s="112" t="str">
        <x:f>IF($J34="","",INDEX('节气整理'!K:K,$J34))</x:f>
      </x:c>
      <x:c r="I34" s="111" t="str">
        <x:f>IF($J34="","",INDEX('节气整理'!I:I,$J34))</x:f>
      </x:c>
      <x:c r="J34" s="111" t="str">
        <x:f>IFERROR(IF(SMALL('节气整理'!$U$2:$U$130,ROWS($J$4:J34))&gt;=90000000,"",MOD(SMALL('节气整理'!$U$2:$U$130,ROWS($J$4:J34)),100000)),"")</x:f>
      </x:c>
    </x:row>
    <x:row r="35" ht="56" customHeight="1">
      <x:c r="A35" s="111" t="str">
        <x:f>IF($J35="","",INDEX('节气整理'!A:A,$J35))</x:f>
      </x:c>
      <x:c r="B35" s="111" t="str">
        <x:f>IF($J35="","",INDEX('节气整理'!B:B,$J35))</x:f>
      </x:c>
      <x:c r="C35" s="111" t="str">
        <x:f>IF($J35="","",INDEX('节气整理'!J:J,$J35))</x:f>
      </x:c>
      <x:c r="D35" s="111" t="str">
        <x:f>IF($J35="","",INDEX('节气整理'!V:V,$J35))</x:f>
      </x:c>
      <x:c r="E35" s="111" t="str">
        <x:f>IF($J35="","",INDEX('节气整理'!W:W,$J35))</x:f>
      </x:c>
      <x:c r="F35" s="111" t="str">
        <x:f>IF($J35="","",INDEX('节气整理'!D:D,$J35))</x:f>
      </x:c>
      <x:c r="G35" s="111" t="str">
        <x:f>IF($J35="","",INDEX('节气整理'!F:F,$J35))</x:f>
      </x:c>
      <x:c r="H35" s="112" t="str">
        <x:f>IF($J35="","",INDEX('节气整理'!K:K,$J35))</x:f>
      </x:c>
      <x:c r="I35" s="111" t="str">
        <x:f>IF($J35="","",INDEX('节气整理'!I:I,$J35))</x:f>
      </x:c>
      <x:c r="J35" s="111" t="str">
        <x:f>IFERROR(IF(SMALL('节气整理'!$U$2:$U$130,ROWS($J$4:J35))&gt;=90000000,"",MOD(SMALL('节气整理'!$U$2:$U$130,ROWS($J$4:J35)),100000)),"")</x:f>
      </x:c>
    </x:row>
    <x:row r="36" ht="56" customHeight="1">
      <x:c r="A36" s="111" t="str">
        <x:f>IF($J36="","",INDEX('节气整理'!A:A,$J36))</x:f>
      </x:c>
      <x:c r="B36" s="111" t="str">
        <x:f>IF($J36="","",INDEX('节气整理'!B:B,$J36))</x:f>
      </x:c>
      <x:c r="C36" s="111" t="str">
        <x:f>IF($J36="","",INDEX('节气整理'!J:J,$J36))</x:f>
      </x:c>
      <x:c r="D36" s="111" t="str">
        <x:f>IF($J36="","",INDEX('节气整理'!V:V,$J36))</x:f>
      </x:c>
      <x:c r="E36" s="111" t="str">
        <x:f>IF($J36="","",INDEX('节气整理'!W:W,$J36))</x:f>
      </x:c>
      <x:c r="F36" s="111" t="str">
        <x:f>IF($J36="","",INDEX('节气整理'!D:D,$J36))</x:f>
      </x:c>
      <x:c r="G36" s="111" t="str">
        <x:f>IF($J36="","",INDEX('节气整理'!F:F,$J36))</x:f>
      </x:c>
      <x:c r="H36" s="112" t="str">
        <x:f>IF($J36="","",INDEX('节气整理'!K:K,$J36))</x:f>
      </x:c>
      <x:c r="I36" s="111" t="str">
        <x:f>IF($J36="","",INDEX('节气整理'!I:I,$J36))</x:f>
      </x:c>
      <x:c r="J36" s="111" t="str">
        <x:f>IFERROR(IF(SMALL('节气整理'!$U$2:$U$130,ROWS($J$4:J36))&gt;=90000000,"",MOD(SMALL('节气整理'!$U$2:$U$130,ROWS($J$4:J36)),100000)),"")</x:f>
      </x:c>
    </x:row>
    <x:row r="37" ht="56" customHeight="1">
      <x:c r="A37" s="111" t="str">
        <x:f>IF($J37="","",INDEX('节气整理'!A:A,$J37))</x:f>
      </x:c>
      <x:c r="B37" s="111" t="str">
        <x:f>IF($J37="","",INDEX('节气整理'!B:B,$J37))</x:f>
      </x:c>
      <x:c r="C37" s="111" t="str">
        <x:f>IF($J37="","",INDEX('节气整理'!J:J,$J37))</x:f>
      </x:c>
      <x:c r="D37" s="111" t="str">
        <x:f>IF($J37="","",INDEX('节气整理'!V:V,$J37))</x:f>
      </x:c>
      <x:c r="E37" s="111" t="str">
        <x:f>IF($J37="","",INDEX('节气整理'!W:W,$J37))</x:f>
      </x:c>
      <x:c r="F37" s="111" t="str">
        <x:f>IF($J37="","",INDEX('节气整理'!D:D,$J37))</x:f>
      </x:c>
      <x:c r="G37" s="111" t="str">
        <x:f>IF($J37="","",INDEX('节气整理'!F:F,$J37))</x:f>
      </x:c>
      <x:c r="H37" s="112" t="str">
        <x:f>IF($J37="","",INDEX('节气整理'!K:K,$J37))</x:f>
      </x:c>
      <x:c r="I37" s="111" t="str">
        <x:f>IF($J37="","",INDEX('节气整理'!I:I,$J37))</x:f>
      </x:c>
      <x:c r="J37" s="111" t="str">
        <x:f>IFERROR(IF(SMALL('节气整理'!$U$2:$U$130,ROWS($J$4:J37))&gt;=90000000,"",MOD(SMALL('节气整理'!$U$2:$U$130,ROWS($J$4:J37)),100000)),"")</x:f>
      </x:c>
    </x:row>
    <x:row r="38" ht="56" customHeight="1">
      <x:c r="A38" s="111" t="str">
        <x:f>IF($J38="","",INDEX('节气整理'!A:A,$J38))</x:f>
      </x:c>
      <x:c r="B38" s="111" t="str">
        <x:f>IF($J38="","",INDEX('节气整理'!B:B,$J38))</x:f>
      </x:c>
      <x:c r="C38" s="111" t="str">
        <x:f>IF($J38="","",INDEX('节气整理'!J:J,$J38))</x:f>
      </x:c>
      <x:c r="D38" s="111" t="str">
        <x:f>IF($J38="","",INDEX('节气整理'!V:V,$J38))</x:f>
      </x:c>
      <x:c r="E38" s="111" t="str">
        <x:f>IF($J38="","",INDEX('节气整理'!W:W,$J38))</x:f>
      </x:c>
      <x:c r="F38" s="111" t="str">
        <x:f>IF($J38="","",INDEX('节气整理'!D:D,$J38))</x:f>
      </x:c>
      <x:c r="G38" s="111" t="str">
        <x:f>IF($J38="","",INDEX('节气整理'!F:F,$J38))</x:f>
      </x:c>
      <x:c r="H38" s="112" t="str">
        <x:f>IF($J38="","",INDEX('节气整理'!K:K,$J38))</x:f>
      </x:c>
      <x:c r="I38" s="111" t="str">
        <x:f>IF($J38="","",INDEX('节气整理'!I:I,$J38))</x:f>
      </x:c>
      <x:c r="J38" s="111" t="str">
        <x:f>IFERROR(IF(SMALL('节气整理'!$U$2:$U$130,ROWS($J$4:J38))&gt;=90000000,"",MOD(SMALL('节气整理'!$U$2:$U$130,ROWS($J$4:J38)),100000)),"")</x:f>
      </x:c>
    </x:row>
    <x:row r="39" ht="56" customHeight="1">
      <x:c r="A39" s="111" t="str">
        <x:f>IF($J39="","",INDEX('节气整理'!A:A,$J39))</x:f>
      </x:c>
      <x:c r="B39" s="111" t="str">
        <x:f>IF($J39="","",INDEX('节气整理'!B:B,$J39))</x:f>
      </x:c>
      <x:c r="C39" s="111" t="str">
        <x:f>IF($J39="","",INDEX('节气整理'!J:J,$J39))</x:f>
      </x:c>
      <x:c r="D39" s="111" t="str">
        <x:f>IF($J39="","",INDEX('节气整理'!V:V,$J39))</x:f>
      </x:c>
      <x:c r="E39" s="111" t="str">
        <x:f>IF($J39="","",INDEX('节气整理'!W:W,$J39))</x:f>
      </x:c>
      <x:c r="F39" s="111" t="str">
        <x:f>IF($J39="","",INDEX('节气整理'!D:D,$J39))</x:f>
      </x:c>
      <x:c r="G39" s="111" t="str">
        <x:f>IF($J39="","",INDEX('节气整理'!F:F,$J39))</x:f>
      </x:c>
      <x:c r="H39" s="112" t="str">
        <x:f>IF($J39="","",INDEX('节气整理'!K:K,$J39))</x:f>
      </x:c>
      <x:c r="I39" s="111" t="str">
        <x:f>IF($J39="","",INDEX('节气整理'!I:I,$J39))</x:f>
      </x:c>
      <x:c r="J39" s="111" t="str">
        <x:f>IFERROR(IF(SMALL('节气整理'!$U$2:$U$130,ROWS($J$4:J39))&gt;=90000000,"",MOD(SMALL('节气整理'!$U$2:$U$130,ROWS($J$4:J39)),100000)),"")</x:f>
      </x:c>
    </x:row>
    <x:row r="40" ht="56" customHeight="1">
      <x:c r="A40" s="111" t="str">
        <x:f>IF($J40="","",INDEX('节气整理'!A:A,$J40))</x:f>
      </x:c>
      <x:c r="B40" s="111" t="str">
        <x:f>IF($J40="","",INDEX('节气整理'!B:B,$J40))</x:f>
      </x:c>
      <x:c r="C40" s="111" t="str">
        <x:f>IF($J40="","",INDEX('节气整理'!J:J,$J40))</x:f>
      </x:c>
      <x:c r="D40" s="111" t="str">
        <x:f>IF($J40="","",INDEX('节气整理'!V:V,$J40))</x:f>
      </x:c>
      <x:c r="E40" s="111" t="str">
        <x:f>IF($J40="","",INDEX('节气整理'!W:W,$J40))</x:f>
      </x:c>
      <x:c r="F40" s="111" t="str">
        <x:f>IF($J40="","",INDEX('节气整理'!D:D,$J40))</x:f>
      </x:c>
      <x:c r="G40" s="111" t="str">
        <x:f>IF($J40="","",INDEX('节气整理'!F:F,$J40))</x:f>
      </x:c>
      <x:c r="H40" s="112" t="str">
        <x:f>IF($J40="","",INDEX('节气整理'!K:K,$J40))</x:f>
      </x:c>
      <x:c r="I40" s="111" t="str">
        <x:f>IF($J40="","",INDEX('节气整理'!I:I,$J40))</x:f>
      </x:c>
      <x:c r="J40" s="111" t="str">
        <x:f>IFERROR(IF(SMALL('节气整理'!$U$2:$U$130,ROWS($J$4:J40))&gt;=90000000,"",MOD(SMALL('节气整理'!$U$2:$U$130,ROWS($J$4:J40)),100000)),"")</x:f>
      </x:c>
    </x:row>
    <x:row r="41" ht="56" customHeight="1">
      <x:c r="A41" s="111" t="str">
        <x:f>IF($J41="","",INDEX('节气整理'!A:A,$J41))</x:f>
      </x:c>
      <x:c r="B41" s="111" t="str">
        <x:f>IF($J41="","",INDEX('节气整理'!B:B,$J41))</x:f>
      </x:c>
      <x:c r="C41" s="111" t="str">
        <x:f>IF($J41="","",INDEX('节气整理'!J:J,$J41))</x:f>
      </x:c>
      <x:c r="D41" s="111" t="str">
        <x:f>IF($J41="","",INDEX('节气整理'!V:V,$J41))</x:f>
      </x:c>
      <x:c r="E41" s="111" t="str">
        <x:f>IF($J41="","",INDEX('节气整理'!W:W,$J41))</x:f>
      </x:c>
      <x:c r="F41" s="111" t="str">
        <x:f>IF($J41="","",INDEX('节气整理'!D:D,$J41))</x:f>
      </x:c>
      <x:c r="G41" s="111" t="str">
        <x:f>IF($J41="","",INDEX('节气整理'!F:F,$J41))</x:f>
      </x:c>
      <x:c r="H41" s="112" t="str">
        <x:f>IF($J41="","",INDEX('节气整理'!K:K,$J41))</x:f>
      </x:c>
      <x:c r="I41" s="111" t="str">
        <x:f>IF($J41="","",INDEX('节气整理'!I:I,$J41))</x:f>
      </x:c>
      <x:c r="J41" s="111" t="str">
        <x:f>IFERROR(IF(SMALL('节气整理'!$U$2:$U$130,ROWS($J$4:J41))&gt;=90000000,"",MOD(SMALL('节气整理'!$U$2:$U$130,ROWS($J$4:J41)),100000)),"")</x:f>
      </x:c>
    </x:row>
    <x:row r="42" ht="56" customHeight="1">
      <x:c r="A42" s="111" t="str">
        <x:f>IF($J42="","",INDEX('节气整理'!A:A,$J42))</x:f>
      </x:c>
      <x:c r="B42" s="111" t="str">
        <x:f>IF($J42="","",INDEX('节气整理'!B:B,$J42))</x:f>
      </x:c>
      <x:c r="C42" s="111" t="str">
        <x:f>IF($J42="","",INDEX('节气整理'!J:J,$J42))</x:f>
      </x:c>
      <x:c r="D42" s="111" t="str">
        <x:f>IF($J42="","",INDEX('节气整理'!V:V,$J42))</x:f>
      </x:c>
      <x:c r="E42" s="111" t="str">
        <x:f>IF($J42="","",INDEX('节气整理'!W:W,$J42))</x:f>
      </x:c>
      <x:c r="F42" s="111" t="str">
        <x:f>IF($J42="","",INDEX('节气整理'!D:D,$J42))</x:f>
      </x:c>
      <x:c r="G42" s="111" t="str">
        <x:f>IF($J42="","",INDEX('节气整理'!F:F,$J42))</x:f>
      </x:c>
      <x:c r="H42" s="112" t="str">
        <x:f>IF($J42="","",INDEX('节气整理'!K:K,$J42))</x:f>
      </x:c>
      <x:c r="I42" s="111" t="str">
        <x:f>IF($J42="","",INDEX('节气整理'!I:I,$J42))</x:f>
      </x:c>
      <x:c r="J42" s="111" t="str">
        <x:f>IFERROR(IF(SMALL('节气整理'!$U$2:$U$130,ROWS($J$4:J42))&gt;=90000000,"",MOD(SMALL('节气整理'!$U$2:$U$130,ROWS($J$4:J42)),100000)),"")</x:f>
      </x:c>
    </x:row>
    <x:row r="43" ht="56" customHeight="1">
      <x:c r="A43" s="111" t="str">
        <x:f>IF($J43="","",INDEX('节气整理'!A:A,$J43))</x:f>
      </x:c>
      <x:c r="B43" s="111" t="str">
        <x:f>IF($J43="","",INDEX('节气整理'!B:B,$J43))</x:f>
      </x:c>
      <x:c r="C43" s="111" t="str">
        <x:f>IF($J43="","",INDEX('节气整理'!J:J,$J43))</x:f>
      </x:c>
      <x:c r="D43" s="111" t="str">
        <x:f>IF($J43="","",INDEX('节气整理'!V:V,$J43))</x:f>
      </x:c>
      <x:c r="E43" s="111" t="str">
        <x:f>IF($J43="","",INDEX('节气整理'!W:W,$J43))</x:f>
      </x:c>
      <x:c r="F43" s="111" t="str">
        <x:f>IF($J43="","",INDEX('节气整理'!D:D,$J43))</x:f>
      </x:c>
      <x:c r="G43" s="111" t="str">
        <x:f>IF($J43="","",INDEX('节气整理'!F:F,$J43))</x:f>
      </x:c>
      <x:c r="H43" s="112" t="str">
        <x:f>IF($J43="","",INDEX('节气整理'!K:K,$J43))</x:f>
      </x:c>
      <x:c r="I43" s="111" t="str">
        <x:f>IF($J43="","",INDEX('节气整理'!I:I,$J43))</x:f>
      </x:c>
      <x:c r="J43" s="111" t="str">
        <x:f>IFERROR(IF(SMALL('节气整理'!$U$2:$U$130,ROWS($J$4:J43))&gt;=90000000,"",MOD(SMALL('节气整理'!$U$2:$U$130,ROWS($J$4:J43)),100000)),"")</x:f>
      </x:c>
    </x:row>
    <x:row r="44" ht="56" customHeight="1">
      <x:c r="A44" s="111" t="str">
        <x:f>IF($J44="","",INDEX('节气整理'!A:A,$J44))</x:f>
      </x:c>
      <x:c r="B44" s="111" t="str">
        <x:f>IF($J44="","",INDEX('节气整理'!B:B,$J44))</x:f>
      </x:c>
      <x:c r="C44" s="111" t="str">
        <x:f>IF($J44="","",INDEX('节气整理'!J:J,$J44))</x:f>
      </x:c>
      <x:c r="D44" s="111" t="str">
        <x:f>IF($J44="","",INDEX('节气整理'!V:V,$J44))</x:f>
      </x:c>
      <x:c r="E44" s="111" t="str">
        <x:f>IF($J44="","",INDEX('节气整理'!W:W,$J44))</x:f>
      </x:c>
      <x:c r="F44" s="111" t="str">
        <x:f>IF($J44="","",INDEX('节气整理'!D:D,$J44))</x:f>
      </x:c>
      <x:c r="G44" s="111" t="str">
        <x:f>IF($J44="","",INDEX('节气整理'!F:F,$J44))</x:f>
      </x:c>
      <x:c r="H44" s="112" t="str">
        <x:f>IF($J44="","",INDEX('节气整理'!K:K,$J44))</x:f>
      </x:c>
      <x:c r="I44" s="111" t="str">
        <x:f>IF($J44="","",INDEX('节气整理'!I:I,$J44))</x:f>
      </x:c>
      <x:c r="J44" s="111" t="str">
        <x:f>IFERROR(IF(SMALL('节气整理'!$U$2:$U$130,ROWS($J$4:J44))&gt;=90000000,"",MOD(SMALL('节气整理'!$U$2:$U$130,ROWS($J$4:J44)),100000)),"")</x:f>
      </x:c>
    </x:row>
    <x:row r="45" ht="56" customHeight="1">
      <x:c r="A45" s="111" t="str">
        <x:f>IF($J45="","",INDEX('节气整理'!A:A,$J45))</x:f>
      </x:c>
      <x:c r="B45" s="111" t="str">
        <x:f>IF($J45="","",INDEX('节气整理'!B:B,$J45))</x:f>
      </x:c>
      <x:c r="C45" s="111" t="str">
        <x:f>IF($J45="","",INDEX('节气整理'!J:J,$J45))</x:f>
      </x:c>
      <x:c r="D45" s="111" t="str">
        <x:f>IF($J45="","",INDEX('节气整理'!V:V,$J45))</x:f>
      </x:c>
      <x:c r="E45" s="111" t="str">
        <x:f>IF($J45="","",INDEX('节气整理'!W:W,$J45))</x:f>
      </x:c>
      <x:c r="F45" s="111" t="str">
        <x:f>IF($J45="","",INDEX('节气整理'!D:D,$J45))</x:f>
      </x:c>
      <x:c r="G45" s="111" t="str">
        <x:f>IF($J45="","",INDEX('节气整理'!F:F,$J45))</x:f>
      </x:c>
      <x:c r="H45" s="112" t="str">
        <x:f>IF($J45="","",INDEX('节气整理'!K:K,$J45))</x:f>
      </x:c>
      <x:c r="I45" s="111" t="str">
        <x:f>IF($J45="","",INDEX('节气整理'!I:I,$J45))</x:f>
      </x:c>
      <x:c r="J45" s="111" t="str">
        <x:f>IFERROR(IF(SMALL('节气整理'!$U$2:$U$130,ROWS($J$4:J45))&gt;=90000000,"",MOD(SMALL('节气整理'!$U$2:$U$130,ROWS($J$4:J45)),100000)),"")</x:f>
      </x:c>
    </x:row>
    <x:row r="46" ht="56" customHeight="1">
      <x:c r="A46" s="111" t="str">
        <x:f>IF($J46="","",INDEX('节气整理'!A:A,$J46))</x:f>
      </x:c>
      <x:c r="B46" s="111" t="str">
        <x:f>IF($J46="","",INDEX('节气整理'!B:B,$J46))</x:f>
      </x:c>
      <x:c r="C46" s="111" t="str">
        <x:f>IF($J46="","",INDEX('节气整理'!J:J,$J46))</x:f>
      </x:c>
      <x:c r="D46" s="111" t="str">
        <x:f>IF($J46="","",INDEX('节气整理'!V:V,$J46))</x:f>
      </x:c>
      <x:c r="E46" s="111" t="str">
        <x:f>IF($J46="","",INDEX('节气整理'!W:W,$J46))</x:f>
      </x:c>
      <x:c r="F46" s="111" t="str">
        <x:f>IF($J46="","",INDEX('节气整理'!D:D,$J46))</x:f>
      </x:c>
      <x:c r="G46" s="111" t="str">
        <x:f>IF($J46="","",INDEX('节气整理'!F:F,$J46))</x:f>
      </x:c>
      <x:c r="H46" s="112" t="str">
        <x:f>IF($J46="","",INDEX('节气整理'!K:K,$J46))</x:f>
      </x:c>
      <x:c r="I46" s="111" t="str">
        <x:f>IF($J46="","",INDEX('节气整理'!I:I,$J46))</x:f>
      </x:c>
      <x:c r="J46" s="111" t="str">
        <x:f>IFERROR(IF(SMALL('节气整理'!$U$2:$U$130,ROWS($J$4:J46))&gt;=90000000,"",MOD(SMALL('节气整理'!$U$2:$U$130,ROWS($J$4:J46)),100000)),"")</x:f>
      </x:c>
    </x:row>
    <x:row r="47" ht="56" customHeight="1">
      <x:c r="A47" s="111" t="str">
        <x:f>IF($J47="","",INDEX('节气整理'!A:A,$J47))</x:f>
      </x:c>
      <x:c r="B47" s="111" t="str">
        <x:f>IF($J47="","",INDEX('节气整理'!B:B,$J47))</x:f>
      </x:c>
      <x:c r="C47" s="111" t="str">
        <x:f>IF($J47="","",INDEX('节气整理'!J:J,$J47))</x:f>
      </x:c>
      <x:c r="D47" s="111" t="str">
        <x:f>IF($J47="","",INDEX('节气整理'!V:V,$J47))</x:f>
      </x:c>
      <x:c r="E47" s="111" t="str">
        <x:f>IF($J47="","",INDEX('节气整理'!W:W,$J47))</x:f>
      </x:c>
      <x:c r="F47" s="111" t="str">
        <x:f>IF($J47="","",INDEX('节气整理'!D:D,$J47))</x:f>
      </x:c>
      <x:c r="G47" s="111" t="str">
        <x:f>IF($J47="","",INDEX('节气整理'!F:F,$J47))</x:f>
      </x:c>
      <x:c r="H47" s="112" t="str">
        <x:f>IF($J47="","",INDEX('节气整理'!K:K,$J47))</x:f>
      </x:c>
      <x:c r="I47" s="111" t="str">
        <x:f>IF($J47="","",INDEX('节气整理'!I:I,$J47))</x:f>
      </x:c>
      <x:c r="J47" s="111" t="str">
        <x:f>IFERROR(IF(SMALL('节气整理'!$U$2:$U$130,ROWS($J$4:J47))&gt;=90000000,"",MOD(SMALL('节气整理'!$U$2:$U$130,ROWS($J$4:J47)),100000)),"")</x:f>
      </x:c>
    </x:row>
    <x:row r="48" ht="56" customHeight="1">
      <x:c r="A48" s="111" t="str">
        <x:f>IF($J48="","",INDEX('节气整理'!A:A,$J48))</x:f>
      </x:c>
      <x:c r="B48" s="111" t="str">
        <x:f>IF($J48="","",INDEX('节气整理'!B:B,$J48))</x:f>
      </x:c>
      <x:c r="C48" s="111" t="str">
        <x:f>IF($J48="","",INDEX('节气整理'!J:J,$J48))</x:f>
      </x:c>
      <x:c r="D48" s="111" t="str">
        <x:f>IF($J48="","",INDEX('节气整理'!V:V,$J48))</x:f>
      </x:c>
      <x:c r="E48" s="111" t="str">
        <x:f>IF($J48="","",INDEX('节气整理'!W:W,$J48))</x:f>
      </x:c>
      <x:c r="F48" s="111" t="str">
        <x:f>IF($J48="","",INDEX('节气整理'!D:D,$J48))</x:f>
      </x:c>
      <x:c r="G48" s="111" t="str">
        <x:f>IF($J48="","",INDEX('节气整理'!F:F,$J48))</x:f>
      </x:c>
      <x:c r="H48" s="112" t="str">
        <x:f>IF($J48="","",INDEX('节气整理'!K:K,$J48))</x:f>
      </x:c>
      <x:c r="I48" s="111" t="str">
        <x:f>IF($J48="","",INDEX('节气整理'!I:I,$J48))</x:f>
      </x:c>
      <x:c r="J48" s="111" t="str">
        <x:f>IFERROR(IF(SMALL('节气整理'!$U$2:$U$130,ROWS($J$4:J48))&gt;=90000000,"",MOD(SMALL('节气整理'!$U$2:$U$130,ROWS($J$4:J48)),100000)),"")</x:f>
      </x:c>
    </x:row>
    <x:row r="49" ht="56" customHeight="1">
      <x:c r="A49" s="111" t="str">
        <x:f>IF($J49="","",INDEX('节气整理'!A:A,$J49))</x:f>
      </x:c>
      <x:c r="B49" s="111" t="str">
        <x:f>IF($J49="","",INDEX('节气整理'!B:B,$J49))</x:f>
      </x:c>
      <x:c r="C49" s="111" t="str">
        <x:f>IF($J49="","",INDEX('节气整理'!J:J,$J49))</x:f>
      </x:c>
      <x:c r="D49" s="111" t="str">
        <x:f>IF($J49="","",INDEX('节气整理'!V:V,$J49))</x:f>
      </x:c>
      <x:c r="E49" s="111" t="str">
        <x:f>IF($J49="","",INDEX('节气整理'!W:W,$J49))</x:f>
      </x:c>
      <x:c r="F49" s="111" t="str">
        <x:f>IF($J49="","",INDEX('节气整理'!D:D,$J49))</x:f>
      </x:c>
      <x:c r="G49" s="111" t="str">
        <x:f>IF($J49="","",INDEX('节气整理'!F:F,$J49))</x:f>
      </x:c>
      <x:c r="H49" s="112" t="str">
        <x:f>IF($J49="","",INDEX('节气整理'!K:K,$J49))</x:f>
      </x:c>
      <x:c r="I49" s="111" t="str">
        <x:f>IF($J49="","",INDEX('节气整理'!I:I,$J49))</x:f>
      </x:c>
      <x:c r="J49" s="111" t="str">
        <x:f>IFERROR(IF(SMALL('节气整理'!$U$2:$U$130,ROWS($J$4:J49))&gt;=90000000,"",MOD(SMALL('节气整理'!$U$2:$U$130,ROWS($J$4:J49)),100000)),"")</x:f>
      </x:c>
    </x:row>
    <x:row r="50" ht="56" customHeight="1">
      <x:c r="A50" s="111" t="str">
        <x:f>IF($J50="","",INDEX('节气整理'!A:A,$J50))</x:f>
      </x:c>
      <x:c r="B50" s="111" t="str">
        <x:f>IF($J50="","",INDEX('节气整理'!B:B,$J50))</x:f>
      </x:c>
      <x:c r="C50" s="111" t="str">
        <x:f>IF($J50="","",INDEX('节气整理'!J:J,$J50))</x:f>
      </x:c>
      <x:c r="D50" s="111" t="str">
        <x:f>IF($J50="","",INDEX('节气整理'!V:V,$J50))</x:f>
      </x:c>
      <x:c r="E50" s="111" t="str">
        <x:f>IF($J50="","",INDEX('节气整理'!W:W,$J50))</x:f>
      </x:c>
      <x:c r="F50" s="111" t="str">
        <x:f>IF($J50="","",INDEX('节气整理'!D:D,$J50))</x:f>
      </x:c>
      <x:c r="G50" s="111" t="str">
        <x:f>IF($J50="","",INDEX('节气整理'!F:F,$J50))</x:f>
      </x:c>
      <x:c r="H50" s="112" t="str">
        <x:f>IF($J50="","",INDEX('节气整理'!K:K,$J50))</x:f>
      </x:c>
      <x:c r="I50" s="111" t="str">
        <x:f>IF($J50="","",INDEX('节气整理'!I:I,$J50))</x:f>
      </x:c>
      <x:c r="J50" s="111" t="str">
        <x:f>IFERROR(IF(SMALL('节气整理'!$U$2:$U$130,ROWS($J$4:J50))&gt;=90000000,"",MOD(SMALL('节气整理'!$U$2:$U$130,ROWS($J$4:J50)),100000)),"")</x:f>
      </x:c>
    </x:row>
    <x:row r="51" ht="56" customHeight="1">
      <x:c r="A51" s="111" t="str">
        <x:f>IF($J51="","",INDEX('节气整理'!A:A,$J51))</x:f>
      </x:c>
      <x:c r="B51" s="111" t="str">
        <x:f>IF($J51="","",INDEX('节气整理'!B:B,$J51))</x:f>
      </x:c>
      <x:c r="C51" s="111" t="str">
        <x:f>IF($J51="","",INDEX('节气整理'!J:J,$J51))</x:f>
      </x:c>
      <x:c r="D51" s="111" t="str">
        <x:f>IF($J51="","",INDEX('节气整理'!V:V,$J51))</x:f>
      </x:c>
      <x:c r="E51" s="111" t="str">
        <x:f>IF($J51="","",INDEX('节气整理'!W:W,$J51))</x:f>
      </x:c>
      <x:c r="F51" s="111" t="str">
        <x:f>IF($J51="","",INDEX('节气整理'!D:D,$J51))</x:f>
      </x:c>
      <x:c r="G51" s="111" t="str">
        <x:f>IF($J51="","",INDEX('节气整理'!F:F,$J51))</x:f>
      </x:c>
      <x:c r="H51" s="112" t="str">
        <x:f>IF($J51="","",INDEX('节气整理'!K:K,$J51))</x:f>
      </x:c>
      <x:c r="I51" s="111" t="str">
        <x:f>IF($J51="","",INDEX('节气整理'!I:I,$J51))</x:f>
      </x:c>
      <x:c r="J51" s="111" t="str">
        <x:f>IFERROR(IF(SMALL('节气整理'!$U$2:$U$130,ROWS($J$4:J51))&gt;=90000000,"",MOD(SMALL('节气整理'!$U$2:$U$130,ROWS($J$4:J51)),100000)),"")</x:f>
      </x:c>
    </x:row>
    <x:row r="52" ht="56" customHeight="1">
      <x:c r="A52" s="111" t="str">
        <x:f>IF($J52="","",INDEX('节气整理'!A:A,$J52))</x:f>
      </x:c>
      <x:c r="B52" s="111" t="str">
        <x:f>IF($J52="","",INDEX('节气整理'!B:B,$J52))</x:f>
      </x:c>
      <x:c r="C52" s="111" t="str">
        <x:f>IF($J52="","",INDEX('节气整理'!J:J,$J52))</x:f>
      </x:c>
      <x:c r="D52" s="111" t="str">
        <x:f>IF($J52="","",INDEX('节气整理'!V:V,$J52))</x:f>
      </x:c>
      <x:c r="E52" s="111" t="str">
        <x:f>IF($J52="","",INDEX('节气整理'!W:W,$J52))</x:f>
      </x:c>
      <x:c r="F52" s="111" t="str">
        <x:f>IF($J52="","",INDEX('节气整理'!D:D,$J52))</x:f>
      </x:c>
      <x:c r="G52" s="111" t="str">
        <x:f>IF($J52="","",INDEX('节气整理'!F:F,$J52))</x:f>
      </x:c>
      <x:c r="H52" s="112" t="str">
        <x:f>IF($J52="","",INDEX('节气整理'!K:K,$J52))</x:f>
      </x:c>
      <x:c r="I52" s="111" t="str">
        <x:f>IF($J52="","",INDEX('节气整理'!I:I,$J52))</x:f>
      </x:c>
      <x:c r="J52" s="111" t="str">
        <x:f>IFERROR(IF(SMALL('节气整理'!$U$2:$U$130,ROWS($J$4:J52))&gt;=90000000,"",MOD(SMALL('节气整理'!$U$2:$U$130,ROWS($J$4:J52)),100000)),"")</x:f>
      </x:c>
    </x:row>
    <x:row r="53" ht="56" customHeight="1">
      <x:c r="A53" s="111" t="str">
        <x:f>IF($J53="","",INDEX('节气整理'!A:A,$J53))</x:f>
      </x:c>
      <x:c r="B53" s="111" t="str">
        <x:f>IF($J53="","",INDEX('节气整理'!B:B,$J53))</x:f>
      </x:c>
      <x:c r="C53" s="111" t="str">
        <x:f>IF($J53="","",INDEX('节气整理'!J:J,$J53))</x:f>
      </x:c>
      <x:c r="D53" s="111" t="str">
        <x:f>IF($J53="","",INDEX('节气整理'!V:V,$J53))</x:f>
      </x:c>
      <x:c r="E53" s="111" t="str">
        <x:f>IF($J53="","",INDEX('节气整理'!W:W,$J53))</x:f>
      </x:c>
      <x:c r="F53" s="111" t="str">
        <x:f>IF($J53="","",INDEX('节气整理'!D:D,$J53))</x:f>
      </x:c>
      <x:c r="G53" s="111" t="str">
        <x:f>IF($J53="","",INDEX('节气整理'!F:F,$J53))</x:f>
      </x:c>
      <x:c r="H53" s="112" t="str">
        <x:f>IF($J53="","",INDEX('节气整理'!K:K,$J53))</x:f>
      </x:c>
      <x:c r="I53" s="111" t="str">
        <x:f>IF($J53="","",INDEX('节气整理'!I:I,$J53))</x:f>
      </x:c>
      <x:c r="J53" s="111" t="str">
        <x:f>IFERROR(IF(SMALL('节气整理'!$U$2:$U$130,ROWS($J$4:J53))&gt;=90000000,"",MOD(SMALL('节气整理'!$U$2:$U$130,ROWS($J$4:J53)),100000)),"")</x:f>
      </x:c>
    </x:row>
    <x:row r="54" ht="56" customHeight="1">
      <x:c r="A54" s="111" t="str">
        <x:f>IF($J54="","",INDEX('节气整理'!A:A,$J54))</x:f>
      </x:c>
      <x:c r="B54" s="111" t="str">
        <x:f>IF($J54="","",INDEX('节气整理'!B:B,$J54))</x:f>
      </x:c>
      <x:c r="C54" s="111" t="str">
        <x:f>IF($J54="","",INDEX('节气整理'!J:J,$J54))</x:f>
      </x:c>
      <x:c r="D54" s="111" t="str">
        <x:f>IF($J54="","",INDEX('节气整理'!V:V,$J54))</x:f>
      </x:c>
      <x:c r="E54" s="111" t="str">
        <x:f>IF($J54="","",INDEX('节气整理'!W:W,$J54))</x:f>
      </x:c>
      <x:c r="F54" s="111" t="str">
        <x:f>IF($J54="","",INDEX('节气整理'!D:D,$J54))</x:f>
      </x:c>
      <x:c r="G54" s="111" t="str">
        <x:f>IF($J54="","",INDEX('节气整理'!F:F,$J54))</x:f>
      </x:c>
      <x:c r="H54" s="112" t="str">
        <x:f>IF($J54="","",INDEX('节气整理'!K:K,$J54))</x:f>
      </x:c>
      <x:c r="I54" s="111" t="str">
        <x:f>IF($J54="","",INDEX('节气整理'!I:I,$J54))</x:f>
      </x:c>
      <x:c r="J54" s="111" t="str">
        <x:f>IFERROR(IF(SMALL('节气整理'!$U$2:$U$130,ROWS($J$4:J54))&gt;=90000000,"",MOD(SMALL('节气整理'!$U$2:$U$130,ROWS($J$4:J54)),100000)),"")</x:f>
      </x:c>
    </x:row>
    <x:row r="55" ht="56" customHeight="1">
      <x:c r="A55" s="111" t="str">
        <x:f>IF($J55="","",INDEX('节气整理'!A:A,$J55))</x:f>
      </x:c>
      <x:c r="B55" s="111" t="str">
        <x:f>IF($J55="","",INDEX('节气整理'!B:B,$J55))</x:f>
      </x:c>
      <x:c r="C55" s="111" t="str">
        <x:f>IF($J55="","",INDEX('节气整理'!J:J,$J55))</x:f>
      </x:c>
      <x:c r="D55" s="111" t="str">
        <x:f>IF($J55="","",INDEX('节气整理'!V:V,$J55))</x:f>
      </x:c>
      <x:c r="E55" s="111" t="str">
        <x:f>IF($J55="","",INDEX('节气整理'!W:W,$J55))</x:f>
      </x:c>
      <x:c r="F55" s="111" t="str">
        <x:f>IF($J55="","",INDEX('节气整理'!D:D,$J55))</x:f>
      </x:c>
      <x:c r="G55" s="111" t="str">
        <x:f>IF($J55="","",INDEX('节气整理'!F:F,$J55))</x:f>
      </x:c>
      <x:c r="H55" s="112" t="str">
        <x:f>IF($J55="","",INDEX('节气整理'!K:K,$J55))</x:f>
      </x:c>
      <x:c r="I55" s="111" t="str">
        <x:f>IF($J55="","",INDEX('节气整理'!I:I,$J55))</x:f>
      </x:c>
      <x:c r="J55" s="111" t="str">
        <x:f>IFERROR(IF(SMALL('节气整理'!$U$2:$U$130,ROWS($J$4:J55))&gt;=90000000,"",MOD(SMALL('节气整理'!$U$2:$U$130,ROWS($J$4:J55)),100000)),"")</x:f>
      </x:c>
    </x:row>
    <x:row r="56" ht="56" customHeight="1">
      <x:c r="A56" s="111" t="str">
        <x:f>IF($J56="","",INDEX('节气整理'!A:A,$J56))</x:f>
      </x:c>
      <x:c r="B56" s="111" t="str">
        <x:f>IF($J56="","",INDEX('节气整理'!B:B,$J56))</x:f>
      </x:c>
      <x:c r="C56" s="111" t="str">
        <x:f>IF($J56="","",INDEX('节气整理'!J:J,$J56))</x:f>
      </x:c>
      <x:c r="D56" s="111" t="str">
        <x:f>IF($J56="","",INDEX('节气整理'!V:V,$J56))</x:f>
      </x:c>
      <x:c r="E56" s="111" t="str">
        <x:f>IF($J56="","",INDEX('节气整理'!W:W,$J56))</x:f>
      </x:c>
      <x:c r="F56" s="111" t="str">
        <x:f>IF($J56="","",INDEX('节气整理'!D:D,$J56))</x:f>
      </x:c>
      <x:c r="G56" s="111" t="str">
        <x:f>IF($J56="","",INDEX('节气整理'!F:F,$J56))</x:f>
      </x:c>
      <x:c r="H56" s="112" t="str">
        <x:f>IF($J56="","",INDEX('节气整理'!K:K,$J56))</x:f>
      </x:c>
      <x:c r="I56" s="111" t="str">
        <x:f>IF($J56="","",INDEX('节气整理'!I:I,$J56))</x:f>
      </x:c>
      <x:c r="J56" s="111" t="str">
        <x:f>IFERROR(IF(SMALL('节气整理'!$U$2:$U$130,ROWS($J$4:J56))&gt;=90000000,"",MOD(SMALL('节气整理'!$U$2:$U$130,ROWS($J$4:J56)),100000)),"")</x:f>
      </x:c>
    </x:row>
    <x:row r="57" ht="56" customHeight="1">
      <x:c r="A57" s="111" t="str">
        <x:f>IF($J57="","",INDEX('节气整理'!A:A,$J57))</x:f>
      </x:c>
      <x:c r="B57" s="111" t="str">
        <x:f>IF($J57="","",INDEX('节气整理'!B:B,$J57))</x:f>
      </x:c>
      <x:c r="C57" s="111" t="str">
        <x:f>IF($J57="","",INDEX('节气整理'!J:J,$J57))</x:f>
      </x:c>
      <x:c r="D57" s="111" t="str">
        <x:f>IF($J57="","",INDEX('节气整理'!V:V,$J57))</x:f>
      </x:c>
      <x:c r="E57" s="111" t="str">
        <x:f>IF($J57="","",INDEX('节气整理'!W:W,$J57))</x:f>
      </x:c>
      <x:c r="F57" s="111" t="str">
        <x:f>IF($J57="","",INDEX('节气整理'!D:D,$J57))</x:f>
      </x:c>
      <x:c r="G57" s="111" t="str">
        <x:f>IF($J57="","",INDEX('节气整理'!F:F,$J57))</x:f>
      </x:c>
      <x:c r="H57" s="112" t="str">
        <x:f>IF($J57="","",INDEX('节气整理'!K:K,$J57))</x:f>
      </x:c>
      <x:c r="I57" s="111" t="str">
        <x:f>IF($J57="","",INDEX('节气整理'!I:I,$J57))</x:f>
      </x:c>
      <x:c r="J57" s="111" t="str">
        <x:f>IFERROR(IF(SMALL('节气整理'!$U$2:$U$130,ROWS($J$4:J57))&gt;=90000000,"",MOD(SMALL('节气整理'!$U$2:$U$130,ROWS($J$4:J57)),100000)),"")</x:f>
      </x:c>
    </x:row>
    <x:row r="58" ht="56" customHeight="1">
      <x:c r="A58" s="111" t="str">
        <x:f>IF($J58="","",INDEX('节气整理'!A:A,$J58))</x:f>
      </x:c>
      <x:c r="B58" s="111" t="str">
        <x:f>IF($J58="","",INDEX('节气整理'!B:B,$J58))</x:f>
      </x:c>
      <x:c r="C58" s="111" t="str">
        <x:f>IF($J58="","",INDEX('节气整理'!J:J,$J58))</x:f>
      </x:c>
      <x:c r="D58" s="111" t="str">
        <x:f>IF($J58="","",INDEX('节气整理'!V:V,$J58))</x:f>
      </x:c>
      <x:c r="E58" s="111" t="str">
        <x:f>IF($J58="","",INDEX('节气整理'!W:W,$J58))</x:f>
      </x:c>
      <x:c r="F58" s="111" t="str">
        <x:f>IF($J58="","",INDEX('节气整理'!D:D,$J58))</x:f>
      </x:c>
      <x:c r="G58" s="111" t="str">
        <x:f>IF($J58="","",INDEX('节气整理'!F:F,$J58))</x:f>
      </x:c>
      <x:c r="H58" s="112" t="str">
        <x:f>IF($J58="","",INDEX('节气整理'!K:K,$J58))</x:f>
      </x:c>
      <x:c r="I58" s="111" t="str">
        <x:f>IF($J58="","",INDEX('节气整理'!I:I,$J58))</x:f>
      </x:c>
      <x:c r="J58" s="111" t="str">
        <x:f>IFERROR(IF(SMALL('节气整理'!$U$2:$U$130,ROWS($J$4:J58))&gt;=90000000,"",MOD(SMALL('节气整理'!$U$2:$U$130,ROWS($J$4:J58)),100000)),"")</x:f>
      </x:c>
    </x:row>
    <x:row r="59" ht="56" customHeight="1">
      <x:c r="A59" s="111" t="str">
        <x:f>IF($J59="","",INDEX('节气整理'!A:A,$J59))</x:f>
      </x:c>
      <x:c r="B59" s="111" t="str">
        <x:f>IF($J59="","",INDEX('节气整理'!B:B,$J59))</x:f>
      </x:c>
      <x:c r="C59" s="111" t="str">
        <x:f>IF($J59="","",INDEX('节气整理'!J:J,$J59))</x:f>
      </x:c>
      <x:c r="D59" s="111" t="str">
        <x:f>IF($J59="","",INDEX('节气整理'!V:V,$J59))</x:f>
      </x:c>
      <x:c r="E59" s="111" t="str">
        <x:f>IF($J59="","",INDEX('节气整理'!W:W,$J59))</x:f>
      </x:c>
      <x:c r="F59" s="111" t="str">
        <x:f>IF($J59="","",INDEX('节气整理'!D:D,$J59))</x:f>
      </x:c>
      <x:c r="G59" s="111" t="str">
        <x:f>IF($J59="","",INDEX('节气整理'!F:F,$J59))</x:f>
      </x:c>
      <x:c r="H59" s="112" t="str">
        <x:f>IF($J59="","",INDEX('节气整理'!K:K,$J59))</x:f>
      </x:c>
      <x:c r="I59" s="111" t="str">
        <x:f>IF($J59="","",INDEX('节气整理'!I:I,$J59))</x:f>
      </x:c>
      <x:c r="J59" s="111" t="str">
        <x:f>IFERROR(IF(SMALL('节气整理'!$U$2:$U$130,ROWS($J$4:J59))&gt;=90000000,"",MOD(SMALL('节气整理'!$U$2:$U$130,ROWS($J$4:J59)),100000)),"")</x:f>
      </x:c>
    </x:row>
    <x:row r="60" ht="56" customHeight="1">
      <x:c r="A60" s="111" t="str">
        <x:f>IF($J60="","",INDEX('节气整理'!A:A,$J60))</x:f>
      </x:c>
      <x:c r="B60" s="111" t="str">
        <x:f>IF($J60="","",INDEX('节气整理'!B:B,$J60))</x:f>
      </x:c>
      <x:c r="C60" s="111" t="str">
        <x:f>IF($J60="","",INDEX('节气整理'!J:J,$J60))</x:f>
      </x:c>
      <x:c r="D60" s="111" t="str">
        <x:f>IF($J60="","",INDEX('节气整理'!V:V,$J60))</x:f>
      </x:c>
      <x:c r="E60" s="111" t="str">
        <x:f>IF($J60="","",INDEX('节气整理'!W:W,$J60))</x:f>
      </x:c>
      <x:c r="F60" s="111" t="str">
        <x:f>IF($J60="","",INDEX('节气整理'!D:D,$J60))</x:f>
      </x:c>
      <x:c r="G60" s="111" t="str">
        <x:f>IF($J60="","",INDEX('节气整理'!F:F,$J60))</x:f>
      </x:c>
      <x:c r="H60" s="112" t="str">
        <x:f>IF($J60="","",INDEX('节气整理'!K:K,$J60))</x:f>
      </x:c>
      <x:c r="I60" s="111" t="str">
        <x:f>IF($J60="","",INDEX('节气整理'!I:I,$J60))</x:f>
      </x:c>
      <x:c r="J60" s="111" t="str">
        <x:f>IFERROR(IF(SMALL('节气整理'!$U$2:$U$130,ROWS($J$4:J60))&gt;=90000000,"",MOD(SMALL('节气整理'!$U$2:$U$130,ROWS($J$4:J60)),100000)),"")</x:f>
      </x:c>
    </x:row>
    <x:row r="61" ht="62" customHeight="1">
      <x:c r="A61" s="109" t="str">
        <x:f>IF($J61="","",INDEX('节气整理'!A:A,$J61))</x:f>
      </x:c>
      <x:c r="B61" s="109" t="str">
        <x:f>IF($J61="","",INDEX('节气整理'!B:B,$J61))</x:f>
      </x:c>
      <x:c r="C61" s="109" t="str">
        <x:f>IF($J61="","",INDEX('节气整理'!J:J,$J61))</x:f>
      </x:c>
      <x:c r="D61" s="109" t="str">
        <x:f>IF($J61="","",INDEX('节气整理'!V:V,$J61))</x:f>
      </x:c>
      <x:c r="E61" s="109" t="str">
        <x:f>IF($J61="","",INDEX('节气整理'!W:W,$J61))</x:f>
      </x:c>
      <x:c r="F61" s="109" t="str">
        <x:f>IF($J61="","",INDEX('节气整理'!D:D,$J61))</x:f>
      </x:c>
      <x:c r="G61" s="109" t="str">
        <x:f>IF($J61="","",INDEX('节气整理'!F:F,$J61))</x:f>
      </x:c>
      <x:c r="H61" s="110" t="str">
        <x:f>IF($J61="","",INDEX('节气整理'!K:K,$J61))</x:f>
      </x:c>
      <x:c r="I61" s="109" t="str">
        <x:f>IF($J61="","",INDEX('节气整理'!I:I,$J61))</x:f>
      </x:c>
      <x:c r="J61" s="109" t="str">
        <x:f>IFERROR(IF(SMALL('节气整理'!$U$2:$U$130,ROWS($J$4:J61))&gt;=90000000,"",MOD(SMALL('节气整理'!$U$2:$U$130,ROWS($J$4:J61)),100000)),"")</x:f>
      </x:c>
    </x:row>
    <x:row r="62" ht="62" customHeight="1">
      <x:c r="A62" s="109" t="str">
        <x:f>IF($J62="","",INDEX('节气整理'!A:A,$J62))</x:f>
      </x:c>
      <x:c r="B62" s="109" t="str">
        <x:f>IF($J62="","",INDEX('节气整理'!B:B,$J62))</x:f>
      </x:c>
      <x:c r="C62" s="109" t="str">
        <x:f>IF($J62="","",INDEX('节气整理'!J:J,$J62))</x:f>
      </x:c>
      <x:c r="D62" s="109" t="str">
        <x:f>IF($J62="","",INDEX('节气整理'!V:V,$J62))</x:f>
      </x:c>
      <x:c r="E62" s="109" t="str">
        <x:f>IF($J62="","",INDEX('节气整理'!W:W,$J62))</x:f>
      </x:c>
      <x:c r="F62" s="109" t="str">
        <x:f>IF($J62="","",INDEX('节气整理'!D:D,$J62))</x:f>
      </x:c>
      <x:c r="G62" s="109" t="str">
        <x:f>IF($J62="","",INDEX('节气整理'!F:F,$J62))</x:f>
      </x:c>
      <x:c r="H62" s="110" t="str">
        <x:f>IF($J62="","",INDEX('节气整理'!K:K,$J62))</x:f>
      </x:c>
      <x:c r="I62" s="109" t="str">
        <x:f>IF($J62="","",INDEX('节气整理'!I:I,$J62))</x:f>
      </x:c>
      <x:c r="J62" s="109" t="str">
        <x:f>IFERROR(IF(SMALL('节气整理'!$U$2:$U$130,ROWS($J$4:J62))&gt;=90000000,"",MOD(SMALL('节气整理'!$U$2:$U$130,ROWS($J$4:J62)),100000)),"")</x:f>
      </x:c>
    </x:row>
    <x:row r="63" ht="62" customHeight="1">
      <x:c r="A63" s="109" t="str">
        <x:f>IF($J63="","",INDEX('节气整理'!A:A,$J63))</x:f>
      </x:c>
      <x:c r="B63" s="109" t="str">
        <x:f>IF($J63="","",INDEX('节气整理'!B:B,$J63))</x:f>
      </x:c>
      <x:c r="C63" s="109" t="str">
        <x:f>IF($J63="","",INDEX('节气整理'!J:J,$J63))</x:f>
      </x:c>
      <x:c r="D63" s="109" t="str">
        <x:f>IF($J63="","",INDEX('节气整理'!V:V,$J63))</x:f>
      </x:c>
      <x:c r="E63" s="109" t="str">
        <x:f>IF($J63="","",INDEX('节气整理'!W:W,$J63))</x:f>
      </x:c>
      <x:c r="F63" s="109" t="str">
        <x:f>IF($J63="","",INDEX('节气整理'!D:D,$J63))</x:f>
      </x:c>
      <x:c r="G63" s="109" t="str">
        <x:f>IF($J63="","",INDEX('节气整理'!F:F,$J63))</x:f>
      </x:c>
      <x:c r="H63" s="110" t="str">
        <x:f>IF($J63="","",INDEX('节气整理'!K:K,$J63))</x:f>
      </x:c>
      <x:c r="I63" s="109" t="str">
        <x:f>IF($J63="","",INDEX('节气整理'!I:I,$J63))</x:f>
      </x:c>
      <x:c r="J63" s="109" t="str">
        <x:f>IFERROR(IF(SMALL('节气整理'!$U$2:$U$130,ROWS($J$4:J63))&gt;=90000000,"",MOD(SMALL('节气整理'!$U$2:$U$130,ROWS($J$4:J63)),100000)),"")</x:f>
      </x:c>
    </x:row>
    <x:row r="64" ht="62" customHeight="1">
      <x:c r="A64" s="109" t="str">
        <x:f>IF($J64="","",INDEX('节气整理'!A:A,$J64))</x:f>
      </x:c>
      <x:c r="B64" s="109" t="str">
        <x:f>IF($J64="","",INDEX('节气整理'!B:B,$J64))</x:f>
      </x:c>
      <x:c r="C64" s="109" t="str">
        <x:f>IF($J64="","",INDEX('节气整理'!J:J,$J64))</x:f>
      </x:c>
      <x:c r="D64" s="109" t="str">
        <x:f>IF($J64="","",INDEX('节气整理'!V:V,$J64))</x:f>
      </x:c>
      <x:c r="E64" s="109" t="str">
        <x:f>IF($J64="","",INDEX('节气整理'!W:W,$J64))</x:f>
      </x:c>
      <x:c r="F64" s="109" t="str">
        <x:f>IF($J64="","",INDEX('节气整理'!D:D,$J64))</x:f>
      </x:c>
      <x:c r="G64" s="109" t="str">
        <x:f>IF($J64="","",INDEX('节气整理'!F:F,$J64))</x:f>
      </x:c>
      <x:c r="H64" s="110" t="str">
        <x:f>IF($J64="","",INDEX('节气整理'!K:K,$J64))</x:f>
      </x:c>
      <x:c r="I64" s="109" t="str">
        <x:f>IF($J64="","",INDEX('节气整理'!I:I,$J64))</x:f>
      </x:c>
      <x:c r="J64" s="109" t="str">
        <x:f>IFERROR(IF(SMALL('节气整理'!$U$2:$U$130,ROWS($J$4:J64))&gt;=90000000,"",MOD(SMALL('节气整理'!$U$2:$U$130,ROWS($J$4:J64)),100000)),"")</x:f>
      </x:c>
    </x:row>
    <x:row r="65" ht="62" customHeight="1">
      <x:c r="A65" s="109" t="str">
        <x:f>IF($J65="","",INDEX('节气整理'!A:A,$J65))</x:f>
      </x:c>
      <x:c r="B65" s="109" t="str">
        <x:f>IF($J65="","",INDEX('节气整理'!B:B,$J65))</x:f>
      </x:c>
      <x:c r="C65" s="109" t="str">
        <x:f>IF($J65="","",INDEX('节气整理'!J:J,$J65))</x:f>
      </x:c>
      <x:c r="D65" s="109" t="str">
        <x:f>IF($J65="","",INDEX('节气整理'!V:V,$J65))</x:f>
      </x:c>
      <x:c r="E65" s="109" t="str">
        <x:f>IF($J65="","",INDEX('节气整理'!W:W,$J65))</x:f>
      </x:c>
      <x:c r="F65" s="109" t="str">
        <x:f>IF($J65="","",INDEX('节气整理'!D:D,$J65))</x:f>
      </x:c>
      <x:c r="G65" s="109" t="str">
        <x:f>IF($J65="","",INDEX('节气整理'!F:F,$J65))</x:f>
      </x:c>
      <x:c r="H65" s="110" t="str">
        <x:f>IF($J65="","",INDEX('节气整理'!K:K,$J65))</x:f>
      </x:c>
      <x:c r="I65" s="109" t="str">
        <x:f>IF($J65="","",INDEX('节气整理'!I:I,$J65))</x:f>
      </x:c>
      <x:c r="J65" s="109" t="str">
        <x:f>IFERROR(IF(SMALL('节气整理'!$U$2:$U$130,ROWS($J$4:J65))&gt;=90000000,"",MOD(SMALL('节气整理'!$U$2:$U$130,ROWS($J$4:J65)),100000)),"")</x:f>
      </x:c>
    </x:row>
    <x:row r="66" ht="62" customHeight="1">
      <x:c r="A66" s="109" t="str">
        <x:f>IF($J66="","",INDEX('节气整理'!A:A,$J66))</x:f>
      </x:c>
      <x:c r="B66" s="109" t="str">
        <x:f>IF($J66="","",INDEX('节气整理'!B:B,$J66))</x:f>
      </x:c>
      <x:c r="C66" s="109" t="str">
        <x:f>IF($J66="","",INDEX('节气整理'!J:J,$J66))</x:f>
      </x:c>
      <x:c r="D66" s="109" t="str">
        <x:f>IF($J66="","",INDEX('节气整理'!V:V,$J66))</x:f>
      </x:c>
      <x:c r="E66" s="109" t="str">
        <x:f>IF($J66="","",INDEX('节气整理'!W:W,$J66))</x:f>
      </x:c>
      <x:c r="F66" s="109" t="str">
        <x:f>IF($J66="","",INDEX('节气整理'!D:D,$J66))</x:f>
      </x:c>
      <x:c r="G66" s="109" t="str">
        <x:f>IF($J66="","",INDEX('节气整理'!F:F,$J66))</x:f>
      </x:c>
      <x:c r="H66" s="110" t="str">
        <x:f>IF($J66="","",INDEX('节气整理'!K:K,$J66))</x:f>
      </x:c>
      <x:c r="I66" s="109" t="str">
        <x:f>IF($J66="","",INDEX('节气整理'!I:I,$J66))</x:f>
      </x:c>
      <x:c r="J66" s="109" t="str">
        <x:f>IFERROR(IF(SMALL('节气整理'!$U$2:$U$130,ROWS($J$4:J66))&gt;=90000000,"",MOD(SMALL('节气整理'!$U$2:$U$130,ROWS($J$4:J66)),100000)),"")</x:f>
      </x:c>
    </x:row>
    <x:row r="67" ht="62" customHeight="1">
      <x:c r="A67" s="109" t="str">
        <x:f>IF($J67="","",INDEX('节气整理'!A:A,$J67))</x:f>
      </x:c>
      <x:c r="B67" s="109" t="str">
        <x:f>IF($J67="","",INDEX('节气整理'!B:B,$J67))</x:f>
      </x:c>
      <x:c r="C67" s="109" t="str">
        <x:f>IF($J67="","",INDEX('节气整理'!J:J,$J67))</x:f>
      </x:c>
      <x:c r="D67" s="109" t="str">
        <x:f>IF($J67="","",INDEX('节气整理'!V:V,$J67))</x:f>
      </x:c>
      <x:c r="E67" s="109" t="str">
        <x:f>IF($J67="","",INDEX('节气整理'!W:W,$J67))</x:f>
      </x:c>
      <x:c r="F67" s="109" t="str">
        <x:f>IF($J67="","",INDEX('节气整理'!D:D,$J67))</x:f>
      </x:c>
      <x:c r="G67" s="109" t="str">
        <x:f>IF($J67="","",INDEX('节气整理'!F:F,$J67))</x:f>
      </x:c>
      <x:c r="H67" s="110" t="str">
        <x:f>IF($J67="","",INDEX('节气整理'!K:K,$J67))</x:f>
      </x:c>
      <x:c r="I67" s="109" t="str">
        <x:f>IF($J67="","",INDEX('节气整理'!I:I,$J67))</x:f>
      </x:c>
      <x:c r="J67" s="109" t="str">
        <x:f>IFERROR(IF(SMALL('节气整理'!$U$2:$U$130,ROWS($J$4:J67))&gt;=90000000,"",MOD(SMALL('节气整理'!$U$2:$U$130,ROWS($J$4:J67)),100000)),"")</x:f>
      </x:c>
    </x:row>
    <x:row r="68" ht="62" customHeight="1">
      <x:c r="A68" s="109" t="str">
        <x:f>IF($J68="","",INDEX('节气整理'!A:A,$J68))</x:f>
      </x:c>
      <x:c r="B68" s="109" t="str">
        <x:f>IF($J68="","",INDEX('节气整理'!B:B,$J68))</x:f>
      </x:c>
      <x:c r="C68" s="109" t="str">
        <x:f>IF($J68="","",INDEX('节气整理'!J:J,$J68))</x:f>
      </x:c>
      <x:c r="D68" s="109" t="str">
        <x:f>IF($J68="","",INDEX('节气整理'!V:V,$J68))</x:f>
      </x:c>
      <x:c r="E68" s="109" t="str">
        <x:f>IF($J68="","",INDEX('节气整理'!W:W,$J68))</x:f>
      </x:c>
      <x:c r="F68" s="109" t="str">
        <x:f>IF($J68="","",INDEX('节气整理'!D:D,$J68))</x:f>
      </x:c>
      <x:c r="G68" s="109" t="str">
        <x:f>IF($J68="","",INDEX('节气整理'!F:F,$J68))</x:f>
      </x:c>
      <x:c r="H68" s="110" t="str">
        <x:f>IF($J68="","",INDEX('节气整理'!K:K,$J68))</x:f>
      </x:c>
      <x:c r="I68" s="109" t="str">
        <x:f>IF($J68="","",INDEX('节气整理'!I:I,$J68))</x:f>
      </x:c>
      <x:c r="J68" s="109" t="str">
        <x:f>IFERROR(IF(SMALL('节气整理'!$U$2:$U$130,ROWS($J$4:J68))&gt;=90000000,"",MOD(SMALL('节气整理'!$U$2:$U$130,ROWS($J$4:J68)),100000)),"")</x:f>
      </x:c>
    </x:row>
    <x:row r="69" ht="62" customHeight="1">
      <x:c r="A69" s="109" t="str">
        <x:f>IF($J69="","",INDEX('节气整理'!A:A,$J69))</x:f>
      </x:c>
      <x:c r="B69" s="109" t="str">
        <x:f>IF($J69="","",INDEX('节气整理'!B:B,$J69))</x:f>
      </x:c>
      <x:c r="C69" s="109" t="str">
        <x:f>IF($J69="","",INDEX('节气整理'!J:J,$J69))</x:f>
      </x:c>
      <x:c r="D69" s="109" t="str">
        <x:f>IF($J69="","",INDEX('节气整理'!V:V,$J69))</x:f>
      </x:c>
      <x:c r="E69" s="109" t="str">
        <x:f>IF($J69="","",INDEX('节气整理'!W:W,$J69))</x:f>
      </x:c>
      <x:c r="F69" s="109" t="str">
        <x:f>IF($J69="","",INDEX('节气整理'!D:D,$J69))</x:f>
      </x:c>
      <x:c r="G69" s="109" t="str">
        <x:f>IF($J69="","",INDEX('节气整理'!F:F,$J69))</x:f>
      </x:c>
      <x:c r="H69" s="110" t="str">
        <x:f>IF($J69="","",INDEX('节气整理'!K:K,$J69))</x:f>
      </x:c>
      <x:c r="I69" s="109" t="str">
        <x:f>IF($J69="","",INDEX('节气整理'!I:I,$J69))</x:f>
      </x:c>
      <x:c r="J69" s="109" t="str">
        <x:f>IFERROR(IF(SMALL('节气整理'!$U$2:$U$130,ROWS($J$4:J69))&gt;=90000000,"",MOD(SMALL('节气整理'!$U$2:$U$130,ROWS($J$4:J69)),100000)),"")</x:f>
      </x:c>
    </x:row>
    <x:row r="70" ht="62" customHeight="1">
      <x:c r="A70" s="109" t="str">
        <x:f>IF($J70="","",INDEX('节气整理'!A:A,$J70))</x:f>
      </x:c>
      <x:c r="B70" s="109" t="str">
        <x:f>IF($J70="","",INDEX('节气整理'!B:B,$J70))</x:f>
      </x:c>
      <x:c r="C70" s="109" t="str">
        <x:f>IF($J70="","",INDEX('节气整理'!J:J,$J70))</x:f>
      </x:c>
      <x:c r="D70" s="109" t="str">
        <x:f>IF($J70="","",INDEX('节气整理'!V:V,$J70))</x:f>
      </x:c>
      <x:c r="E70" s="109" t="str">
        <x:f>IF($J70="","",INDEX('节气整理'!W:W,$J70))</x:f>
      </x:c>
      <x:c r="F70" s="109" t="str">
        <x:f>IF($J70="","",INDEX('节气整理'!D:D,$J70))</x:f>
      </x:c>
      <x:c r="G70" s="109" t="str">
        <x:f>IF($J70="","",INDEX('节气整理'!F:F,$J70))</x:f>
      </x:c>
      <x:c r="H70" s="110" t="str">
        <x:f>IF($J70="","",INDEX('节气整理'!K:K,$J70))</x:f>
      </x:c>
      <x:c r="I70" s="109" t="str">
        <x:f>IF($J70="","",INDEX('节气整理'!I:I,$J70))</x:f>
      </x:c>
      <x:c r="J70" s="109" t="str">
        <x:f>IFERROR(IF(SMALL('节气整理'!$U$2:$U$130,ROWS($J$4:J70))&gt;=90000000,"",MOD(SMALL('节气整理'!$U$2:$U$130,ROWS($J$4:J70)),100000)),"")</x:f>
      </x:c>
    </x:row>
    <x:row r="71">
      <x:c r="A71" s="15" t="str">
        <x:f>IF($H71="","",INDEX('节气整理'!A:A,$H71))</x:f>
      </x:c>
      <x:c r="B71" s="15" t="str">
        <x:f>IF($H71="","",INDEX('节气整理'!B:B,$H71))</x:f>
      </x:c>
      <x:c r="C71" s="15" t="str">
        <x:f>IF($H71="","",INDEX('节气整理'!J:J,$H71))</x:f>
      </x:c>
      <x:c r="D71" s="15" t="str">
        <x:f>IF($H71="","",INDEX('节气整理'!D:D,$H71))</x:f>
      </x:c>
      <x:c r="E71" s="15" t="str">
        <x:f>IF($H71="","",INDEX('节气整理'!F:F,$H71))</x:f>
      </x:c>
      <x:c r="F71" s="15" t="str">
        <x:f>IF($H71="","",INDEX('节气整理'!K:K,$H71))</x:f>
      </x:c>
      <x:c r="G71" s="15" t="str">
        <x:f>IF($H71="","",INDEX('节气整理'!I:I,$H71))</x:f>
      </x:c>
      <x:c r="H71" s="56" t="str">
        <x:f>IFERROR(IF(SMALL('节气整理'!$U$2:$U$130,ROWS($H$4:H71))&gt;=90000000,"",MOD(SMALL('节气整理'!$U$2:$U$130,ROWS($H$4:H71)),100000)),"")</x:f>
      </x:c>
    </x:row>
    <x:row r="72">
      <x:c r="A72" s="15" t="str">
        <x:f>IF($H72="","",INDEX('节气整理'!A:A,$H72))</x:f>
      </x:c>
      <x:c r="B72" s="15" t="str">
        <x:f>IF($H72="","",INDEX('节气整理'!B:B,$H72))</x:f>
      </x:c>
      <x:c r="C72" s="15" t="str">
        <x:f>IF($H72="","",INDEX('节气整理'!J:J,$H72))</x:f>
      </x:c>
      <x:c r="D72" s="15" t="str">
        <x:f>IF($H72="","",INDEX('节气整理'!D:D,$H72))</x:f>
      </x:c>
      <x:c r="E72" s="15" t="str">
        <x:f>IF($H72="","",INDEX('节气整理'!F:F,$H72))</x:f>
      </x:c>
      <x:c r="F72" s="15" t="str">
        <x:f>IF($H72="","",INDEX('节气整理'!K:K,$H72))</x:f>
      </x:c>
      <x:c r="G72" s="15" t="str">
        <x:f>IF($H72="","",INDEX('节气整理'!I:I,$H72))</x:f>
      </x:c>
      <x:c r="H72" s="56" t="str">
        <x:f>IFERROR(IF(SMALL('节气整理'!$U$2:$U$130,ROWS($H$4:H72))&gt;=90000000,"",MOD(SMALL('节气整理'!$U$2:$U$130,ROWS($H$4:H72)),100000)),"")</x:f>
      </x:c>
    </x:row>
    <x:row r="73">
      <x:c r="A73" s="15" t="str">
        <x:f>IF($H73="","",INDEX('节气整理'!A:A,$H73))</x:f>
      </x:c>
      <x:c r="B73" s="15" t="str">
        <x:f>IF($H73="","",INDEX('节气整理'!B:B,$H73))</x:f>
      </x:c>
      <x:c r="C73" s="15" t="str">
        <x:f>IF($H73="","",INDEX('节气整理'!J:J,$H73))</x:f>
      </x:c>
      <x:c r="D73" s="15" t="str">
        <x:f>IF($H73="","",INDEX('节气整理'!D:D,$H73))</x:f>
      </x:c>
      <x:c r="E73" s="15" t="str">
        <x:f>IF($H73="","",INDEX('节气整理'!F:F,$H73))</x:f>
      </x:c>
      <x:c r="F73" s="15" t="str">
        <x:f>IF($H73="","",INDEX('节气整理'!K:K,$H73))</x:f>
      </x:c>
      <x:c r="G73" s="15" t="str">
        <x:f>IF($H73="","",INDEX('节气整理'!I:I,$H73))</x:f>
      </x:c>
      <x:c r="H73" s="56" t="str">
        <x:f>IFERROR(IF(SMALL('节气整理'!$U$2:$U$130,ROWS($H$4:H73))&gt;=90000000,"",MOD(SMALL('节气整理'!$U$2:$U$130,ROWS($H$4:H73)),100000)),"")</x:f>
      </x:c>
    </x:row>
    <x:row r="74">
      <x:c r="A74" s="15" t="str">
        <x:f>IF($H74="","",INDEX('节气整理'!A:A,$H74))</x:f>
      </x:c>
      <x:c r="B74" s="15" t="str">
        <x:f>IF($H74="","",INDEX('节气整理'!B:B,$H74))</x:f>
      </x:c>
      <x:c r="C74" s="15" t="str">
        <x:f>IF($H74="","",INDEX('节气整理'!J:J,$H74))</x:f>
      </x:c>
      <x:c r="D74" s="15" t="str">
        <x:f>IF($H74="","",INDEX('节气整理'!D:D,$H74))</x:f>
      </x:c>
      <x:c r="E74" s="15" t="str">
        <x:f>IF($H74="","",INDEX('节气整理'!F:F,$H74))</x:f>
      </x:c>
      <x:c r="F74" s="15" t="str">
        <x:f>IF($H74="","",INDEX('节气整理'!K:K,$H74))</x:f>
      </x:c>
      <x:c r="G74" s="15" t="str">
        <x:f>IF($H74="","",INDEX('节气整理'!I:I,$H74))</x:f>
      </x:c>
      <x:c r="H74" s="56" t="str">
        <x:f>IFERROR(IF(SMALL('节气整理'!$U$2:$U$130,ROWS($H$4:H74))&gt;=90000000,"",MOD(SMALL('节气整理'!$U$2:$U$130,ROWS($H$4:H74)),100000)),"")</x:f>
      </x:c>
    </x:row>
    <x:row r="75">
      <x:c r="A75" s="15" t="str">
        <x:f>IF($H75="","",INDEX('节气整理'!A:A,$H75))</x:f>
      </x:c>
      <x:c r="B75" s="15" t="str">
        <x:f>IF($H75="","",INDEX('节气整理'!B:B,$H75))</x:f>
      </x:c>
      <x:c r="C75" s="15" t="str">
        <x:f>IF($H75="","",INDEX('节气整理'!J:J,$H75))</x:f>
      </x:c>
      <x:c r="D75" s="15" t="str">
        <x:f>IF($H75="","",INDEX('节气整理'!D:D,$H75))</x:f>
      </x:c>
      <x:c r="E75" s="15" t="str">
        <x:f>IF($H75="","",INDEX('节气整理'!F:F,$H75))</x:f>
      </x:c>
      <x:c r="F75" s="15" t="str">
        <x:f>IF($H75="","",INDEX('节气整理'!K:K,$H75))</x:f>
      </x:c>
      <x:c r="G75" s="15" t="str">
        <x:f>IF($H75="","",INDEX('节气整理'!I:I,$H75))</x:f>
      </x:c>
      <x:c r="H75" s="56" t="str">
        <x:f>IFERROR(IF(SMALL('节气整理'!$U$2:$U$130,ROWS($H$4:H75))&gt;=90000000,"",MOD(SMALL('节气整理'!$U$2:$U$130,ROWS($H$4:H75)),100000)),"")</x:f>
      </x:c>
    </x:row>
    <x:row r="76">
      <x:c r="A76" s="15" t="str">
        <x:f>IF($H76="","",INDEX('节气整理'!A:A,$H76))</x:f>
      </x:c>
      <x:c r="B76" s="15" t="str">
        <x:f>IF($H76="","",INDEX('节气整理'!B:B,$H76))</x:f>
      </x:c>
      <x:c r="C76" s="15" t="str">
        <x:f>IF($H76="","",INDEX('节气整理'!J:J,$H76))</x:f>
      </x:c>
      <x:c r="D76" s="15" t="str">
        <x:f>IF($H76="","",INDEX('节气整理'!D:D,$H76))</x:f>
      </x:c>
      <x:c r="E76" s="15" t="str">
        <x:f>IF($H76="","",INDEX('节气整理'!F:F,$H76))</x:f>
      </x:c>
      <x:c r="F76" s="15" t="str">
        <x:f>IF($H76="","",INDEX('节气整理'!K:K,$H76))</x:f>
      </x:c>
      <x:c r="G76" s="15" t="str">
        <x:f>IF($H76="","",INDEX('节气整理'!I:I,$H76))</x:f>
      </x:c>
      <x:c r="H76" s="56" t="str">
        <x:f>IFERROR(IF(SMALL('节气整理'!$U$2:$U$130,ROWS($H$4:H76))&gt;=90000000,"",MOD(SMALL('节气整理'!$U$2:$U$130,ROWS($H$4:H76)),100000)),"")</x:f>
      </x:c>
    </x:row>
    <x:row r="77">
      <x:c r="A77" s="15" t="str">
        <x:f>IF($H77="","",INDEX('节气整理'!A:A,$H77))</x:f>
      </x:c>
      <x:c r="B77" s="15" t="str">
        <x:f>IF($H77="","",INDEX('节气整理'!B:B,$H77))</x:f>
      </x:c>
      <x:c r="C77" s="15" t="str">
        <x:f>IF($H77="","",INDEX('节气整理'!J:J,$H77))</x:f>
      </x:c>
      <x:c r="D77" s="15" t="str">
        <x:f>IF($H77="","",INDEX('节气整理'!D:D,$H77))</x:f>
      </x:c>
      <x:c r="E77" s="15" t="str">
        <x:f>IF($H77="","",INDEX('节气整理'!F:F,$H77))</x:f>
      </x:c>
      <x:c r="F77" s="15" t="str">
        <x:f>IF($H77="","",INDEX('节气整理'!K:K,$H77))</x:f>
      </x:c>
      <x:c r="G77" s="15" t="str">
        <x:f>IF($H77="","",INDEX('节气整理'!I:I,$H77))</x:f>
      </x:c>
      <x:c r="H77" s="56" t="str">
        <x:f>IFERROR(IF(SMALL('节气整理'!$U$2:$U$130,ROWS($H$4:H77))&gt;=90000000,"",MOD(SMALL('节气整理'!$U$2:$U$130,ROWS($H$4:H77)),100000)),"")</x:f>
      </x:c>
    </x:row>
    <x:row r="78">
      <x:c r="A78" s="15" t="str">
        <x:f>IF($H78="","",INDEX('节气整理'!A:A,$H78))</x:f>
      </x:c>
      <x:c r="B78" s="15" t="str">
        <x:f>IF($H78="","",INDEX('节气整理'!B:B,$H78))</x:f>
      </x:c>
      <x:c r="C78" s="15" t="str">
        <x:f>IF($H78="","",INDEX('节气整理'!J:J,$H78))</x:f>
      </x:c>
      <x:c r="D78" s="15" t="str">
        <x:f>IF($H78="","",INDEX('节气整理'!D:D,$H78))</x:f>
      </x:c>
      <x:c r="E78" s="15" t="str">
        <x:f>IF($H78="","",INDEX('节气整理'!F:F,$H78))</x:f>
      </x:c>
      <x:c r="F78" s="15" t="str">
        <x:f>IF($H78="","",INDEX('节气整理'!K:K,$H78))</x:f>
      </x:c>
      <x:c r="G78" s="15" t="str">
        <x:f>IF($H78="","",INDEX('节气整理'!I:I,$H78))</x:f>
      </x:c>
      <x:c r="H78" s="56" t="str">
        <x:f>IFERROR(IF(SMALL('节气整理'!$U$2:$U$130,ROWS($H$4:H78))&gt;=90000000,"",MOD(SMALL('节气整理'!$U$2:$U$130,ROWS($H$4:H78)),100000)),"")</x:f>
      </x:c>
    </x:row>
    <x:row r="79">
      <x:c r="A79" s="15" t="str">
        <x:f>IF($H79="","",INDEX('节气整理'!A:A,$H79))</x:f>
      </x:c>
      <x:c r="B79" s="15" t="str">
        <x:f>IF($H79="","",INDEX('节气整理'!B:B,$H79))</x:f>
      </x:c>
      <x:c r="C79" s="15" t="str">
        <x:f>IF($H79="","",INDEX('节气整理'!J:J,$H79))</x:f>
      </x:c>
      <x:c r="D79" s="15" t="str">
        <x:f>IF($H79="","",INDEX('节气整理'!D:D,$H79))</x:f>
      </x:c>
      <x:c r="E79" s="15" t="str">
        <x:f>IF($H79="","",INDEX('节气整理'!F:F,$H79))</x:f>
      </x:c>
      <x:c r="F79" s="15" t="str">
        <x:f>IF($H79="","",INDEX('节气整理'!K:K,$H79))</x:f>
      </x:c>
      <x:c r="G79" s="15" t="str">
        <x:f>IF($H79="","",INDEX('节气整理'!I:I,$H79))</x:f>
      </x:c>
      <x:c r="H79" s="56" t="str">
        <x:f>IFERROR(IF(SMALL('节气整理'!$U$2:$U$130,ROWS($H$4:H79))&gt;=90000000,"",MOD(SMALL('节气整理'!$U$2:$U$130,ROWS($H$4:H79)),100000)),"")</x:f>
      </x:c>
    </x:row>
    <x:row r="80">
      <x:c r="A80" s="15" t="str">
        <x:f>IF($H80="","",INDEX('节气整理'!A:A,$H80))</x:f>
      </x:c>
      <x:c r="B80" s="15" t="str">
        <x:f>IF($H80="","",INDEX('节气整理'!B:B,$H80))</x:f>
      </x:c>
      <x:c r="C80" s="15" t="str">
        <x:f>IF($H80="","",INDEX('节气整理'!J:J,$H80))</x:f>
      </x:c>
      <x:c r="D80" s="15" t="str">
        <x:f>IF($H80="","",INDEX('节气整理'!D:D,$H80))</x:f>
      </x:c>
      <x:c r="E80" s="15" t="str">
        <x:f>IF($H80="","",INDEX('节气整理'!F:F,$H80))</x:f>
      </x:c>
      <x:c r="F80" s="15" t="str">
        <x:f>IF($H80="","",INDEX('节气整理'!K:K,$H80))</x:f>
      </x:c>
      <x:c r="G80" s="15" t="str">
        <x:f>IF($H80="","",INDEX('节气整理'!I:I,$H80))</x:f>
      </x:c>
      <x:c r="H80" s="56" t="str">
        <x:f>IFERROR(IF(SMALL('节气整理'!$U$2:$U$130,ROWS($H$4:H80))&gt;=90000000,"",MOD(SMALL('节气整理'!$U$2:$U$130,ROWS($H$4:H80)),100000)),"")</x:f>
      </x:c>
    </x:row>
    <x:row r="81">
      <x:c r="A81" s="15" t="str">
        <x:f>IF($H81="","",INDEX('节气整理'!A:A,$H81))</x:f>
      </x:c>
      <x:c r="B81" s="15" t="str">
        <x:f>IF($H81="","",INDEX('节气整理'!B:B,$H81))</x:f>
      </x:c>
      <x:c r="C81" s="15" t="str">
        <x:f>IF($H81="","",INDEX('节气整理'!J:J,$H81))</x:f>
      </x:c>
      <x:c r="D81" s="15" t="str">
        <x:f>IF($H81="","",INDEX('节气整理'!D:D,$H81))</x:f>
      </x:c>
      <x:c r="E81" s="15" t="str">
        <x:f>IF($H81="","",INDEX('节气整理'!F:F,$H81))</x:f>
      </x:c>
      <x:c r="F81" s="15" t="str">
        <x:f>IF($H81="","",INDEX('节气整理'!K:K,$H81))</x:f>
      </x:c>
      <x:c r="G81" s="15" t="str">
        <x:f>IF($H81="","",INDEX('节气整理'!I:I,$H81))</x:f>
      </x:c>
      <x:c r="H81" s="56" t="str">
        <x:f>IFERROR(IF(SMALL('节气整理'!$U$2:$U$130,ROWS($H$4:H81))&gt;=90000000,"",MOD(SMALL('节气整理'!$U$2:$U$130,ROWS($H$4:H81)),100000)),"")</x:f>
      </x:c>
    </x:row>
    <x:row r="82">
      <x:c r="A82" s="15" t="str">
        <x:f>IF($H82="","",INDEX('节气整理'!A:A,$H82))</x:f>
      </x:c>
      <x:c r="B82" s="15" t="str">
        <x:f>IF($H82="","",INDEX('节气整理'!B:B,$H82))</x:f>
      </x:c>
      <x:c r="C82" s="15" t="str">
        <x:f>IF($H82="","",INDEX('节气整理'!J:J,$H82))</x:f>
      </x:c>
      <x:c r="D82" s="15" t="str">
        <x:f>IF($H82="","",INDEX('节气整理'!D:D,$H82))</x:f>
      </x:c>
      <x:c r="E82" s="15" t="str">
        <x:f>IF($H82="","",INDEX('节气整理'!F:F,$H82))</x:f>
      </x:c>
      <x:c r="F82" s="15" t="str">
        <x:f>IF($H82="","",INDEX('节气整理'!K:K,$H82))</x:f>
      </x:c>
      <x:c r="G82" s="15" t="str">
        <x:f>IF($H82="","",INDEX('节气整理'!I:I,$H82))</x:f>
      </x:c>
      <x:c r="H82" s="56" t="str">
        <x:f>IFERROR(IF(SMALL('节气整理'!$U$2:$U$130,ROWS($H$4:H82))&gt;=90000000,"",MOD(SMALL('节气整理'!$U$2:$U$130,ROWS($H$4:H82)),100000)),"")</x:f>
      </x:c>
    </x:row>
    <x:row r="83">
      <x:c r="A83" s="15" t="str">
        <x:f>IF($H83="","",INDEX('节气整理'!A:A,$H83))</x:f>
      </x:c>
      <x:c r="B83" s="15" t="str">
        <x:f>IF($H83="","",INDEX('节气整理'!B:B,$H83))</x:f>
      </x:c>
      <x:c r="C83" s="15" t="str">
        <x:f>IF($H83="","",INDEX('节气整理'!J:J,$H83))</x:f>
      </x:c>
      <x:c r="D83" s="15" t="str">
        <x:f>IF($H83="","",INDEX('节气整理'!D:D,$H83))</x:f>
      </x:c>
      <x:c r="E83" s="15" t="str">
        <x:f>IF($H83="","",INDEX('节气整理'!F:F,$H83))</x:f>
      </x:c>
      <x:c r="F83" s="15" t="str">
        <x:f>IF($H83="","",INDEX('节气整理'!K:K,$H83))</x:f>
      </x:c>
      <x:c r="G83" s="15" t="str">
        <x:f>IF($H83="","",INDEX('节气整理'!I:I,$H83))</x:f>
      </x:c>
      <x:c r="H83" s="56" t="str">
        <x:f>IFERROR(IF(SMALL('节气整理'!$U$2:$U$130,ROWS($H$4:H83))&gt;=90000000,"",MOD(SMALL('节气整理'!$U$2:$U$130,ROWS($H$4:H83)),100000)),"")</x:f>
      </x:c>
    </x:row>
    <x:row r="84">
      <x:c r="A84" s="15" t="str">
        <x:f>IF($H84="","",INDEX('节气整理'!A:A,$H84))</x:f>
      </x:c>
      <x:c r="B84" s="15" t="str">
        <x:f>IF($H84="","",INDEX('节气整理'!B:B,$H84))</x:f>
      </x:c>
      <x:c r="C84" s="15" t="str">
        <x:f>IF($H84="","",INDEX('节气整理'!J:J,$H84))</x:f>
      </x:c>
      <x:c r="D84" s="15" t="str">
        <x:f>IF($H84="","",INDEX('节气整理'!D:D,$H84))</x:f>
      </x:c>
      <x:c r="E84" s="15" t="str">
        <x:f>IF($H84="","",INDEX('节气整理'!F:F,$H84))</x:f>
      </x:c>
      <x:c r="F84" s="15" t="str">
        <x:f>IF($H84="","",INDEX('节气整理'!K:K,$H84))</x:f>
      </x:c>
      <x:c r="G84" s="15" t="str">
        <x:f>IF($H84="","",INDEX('节气整理'!I:I,$H84))</x:f>
      </x:c>
      <x:c r="H84" s="56" t="str">
        <x:f>IFERROR(IF(SMALL('节气整理'!$U$2:$U$130,ROWS($H$4:H84))&gt;=90000000,"",MOD(SMALL('节气整理'!$U$2:$U$130,ROWS($H$4:H84)),100000)),"")</x:f>
      </x:c>
    </x:row>
    <x:row r="85">
      <x:c r="A85" s="15" t="str">
        <x:f>IF($H85="","",INDEX('节气整理'!A:A,$H85))</x:f>
      </x:c>
      <x:c r="B85" s="15" t="str">
        <x:f>IF($H85="","",INDEX('节气整理'!B:B,$H85))</x:f>
      </x:c>
      <x:c r="C85" s="15" t="str">
        <x:f>IF($H85="","",INDEX('节气整理'!J:J,$H85))</x:f>
      </x:c>
      <x:c r="D85" s="15" t="str">
        <x:f>IF($H85="","",INDEX('节气整理'!D:D,$H85))</x:f>
      </x:c>
      <x:c r="E85" s="15" t="str">
        <x:f>IF($H85="","",INDEX('节气整理'!F:F,$H85))</x:f>
      </x:c>
      <x:c r="F85" s="15" t="str">
        <x:f>IF($H85="","",INDEX('节气整理'!K:K,$H85))</x:f>
      </x:c>
      <x:c r="G85" s="15" t="str">
        <x:f>IF($H85="","",INDEX('节气整理'!I:I,$H85))</x:f>
      </x:c>
      <x:c r="H85" s="56" t="str">
        <x:f>IFERROR(IF(SMALL('节气整理'!$U$2:$U$130,ROWS($H$4:H85))&gt;=90000000,"",MOD(SMALL('节气整理'!$U$2:$U$130,ROWS($H$4:H85)),100000)),"")</x:f>
      </x:c>
    </x:row>
    <x:row r="86">
      <x:c r="A86" s="15" t="str">
        <x:f>IF($H86="","",INDEX('节气整理'!A:A,$H86))</x:f>
      </x:c>
      <x:c r="B86" s="15" t="str">
        <x:f>IF($H86="","",INDEX('节气整理'!B:B,$H86))</x:f>
      </x:c>
      <x:c r="C86" s="15" t="str">
        <x:f>IF($H86="","",INDEX('节气整理'!J:J,$H86))</x:f>
      </x:c>
      <x:c r="D86" s="15" t="str">
        <x:f>IF($H86="","",INDEX('节气整理'!D:D,$H86))</x:f>
      </x:c>
      <x:c r="E86" s="15" t="str">
        <x:f>IF($H86="","",INDEX('节气整理'!F:F,$H86))</x:f>
      </x:c>
      <x:c r="F86" s="15" t="str">
        <x:f>IF($H86="","",INDEX('节气整理'!K:K,$H86))</x:f>
      </x:c>
      <x:c r="G86" s="15" t="str">
        <x:f>IF($H86="","",INDEX('节气整理'!I:I,$H86))</x:f>
      </x:c>
      <x:c r="H86" s="56" t="str">
        <x:f>IFERROR(IF(SMALL('节气整理'!$U$2:$U$130,ROWS($H$4:H86))&gt;=90000000,"",MOD(SMALL('节气整理'!$U$2:$U$130,ROWS($H$4:H86)),100000)),"")</x:f>
      </x:c>
    </x:row>
    <x:row r="87">
      <x:c r="A87" s="15" t="str">
        <x:f>IF($H87="","",INDEX('节气整理'!A:A,$H87))</x:f>
      </x:c>
      <x:c r="B87" s="15" t="str">
        <x:f>IF($H87="","",INDEX('节气整理'!B:B,$H87))</x:f>
      </x:c>
      <x:c r="C87" s="15" t="str">
        <x:f>IF($H87="","",INDEX('节气整理'!J:J,$H87))</x:f>
      </x:c>
      <x:c r="D87" s="15" t="str">
        <x:f>IF($H87="","",INDEX('节气整理'!D:D,$H87))</x:f>
      </x:c>
      <x:c r="E87" s="15" t="str">
        <x:f>IF($H87="","",INDEX('节气整理'!F:F,$H87))</x:f>
      </x:c>
      <x:c r="F87" s="15" t="str">
        <x:f>IF($H87="","",INDEX('节气整理'!K:K,$H87))</x:f>
      </x:c>
      <x:c r="G87" s="15" t="str">
        <x:f>IF($H87="","",INDEX('节气整理'!I:I,$H87))</x:f>
      </x:c>
      <x:c r="H87" s="56" t="str">
        <x:f>IFERROR(IF(SMALL('节气整理'!$U$2:$U$130,ROWS($H$4:H87))&gt;=90000000,"",MOD(SMALL('节气整理'!$U$2:$U$130,ROWS($H$4:H87)),100000)),"")</x:f>
      </x:c>
    </x:row>
    <x:row r="88">
      <x:c r="A88" s="15" t="str">
        <x:f>IF($H88="","",INDEX('节气整理'!A:A,$H88))</x:f>
      </x:c>
      <x:c r="B88" s="15" t="str">
        <x:f>IF($H88="","",INDEX('节气整理'!B:B,$H88))</x:f>
      </x:c>
      <x:c r="C88" s="15" t="str">
        <x:f>IF($H88="","",INDEX('节气整理'!J:J,$H88))</x:f>
      </x:c>
      <x:c r="D88" s="15" t="str">
        <x:f>IF($H88="","",INDEX('节气整理'!D:D,$H88))</x:f>
      </x:c>
      <x:c r="E88" s="15" t="str">
        <x:f>IF($H88="","",INDEX('节气整理'!F:F,$H88))</x:f>
      </x:c>
      <x:c r="F88" s="15" t="str">
        <x:f>IF($H88="","",INDEX('节气整理'!K:K,$H88))</x:f>
      </x:c>
      <x:c r="G88" s="15" t="str">
        <x:f>IF($H88="","",INDEX('节气整理'!I:I,$H88))</x:f>
      </x:c>
      <x:c r="H88" s="56" t="str">
        <x:f>IFERROR(IF(SMALL('节气整理'!$U$2:$U$130,ROWS($H$4:H88))&gt;=90000000,"",MOD(SMALL('节气整理'!$U$2:$U$130,ROWS($H$4:H88)),100000)),"")</x:f>
      </x:c>
    </x:row>
    <x:row r="89">
      <x:c r="A89" s="15" t="str">
        <x:f>IF($H89="","",INDEX('节气整理'!A:A,$H89))</x:f>
      </x:c>
      <x:c r="B89" s="15" t="str">
        <x:f>IF($H89="","",INDEX('节气整理'!B:B,$H89))</x:f>
      </x:c>
      <x:c r="C89" s="15" t="str">
        <x:f>IF($H89="","",INDEX('节气整理'!J:J,$H89))</x:f>
      </x:c>
      <x:c r="D89" s="15" t="str">
        <x:f>IF($H89="","",INDEX('节气整理'!D:D,$H89))</x:f>
      </x:c>
      <x:c r="E89" s="15" t="str">
        <x:f>IF($H89="","",INDEX('节气整理'!F:F,$H89))</x:f>
      </x:c>
      <x:c r="F89" s="15" t="str">
        <x:f>IF($H89="","",INDEX('节气整理'!K:K,$H89))</x:f>
      </x:c>
      <x:c r="G89" s="15" t="str">
        <x:f>IF($H89="","",INDEX('节气整理'!I:I,$H89))</x:f>
      </x:c>
      <x:c r="H89" s="56" t="str">
        <x:f>IFERROR(IF(SMALL('节气整理'!$U$2:$U$130,ROWS($H$4:H89))&gt;=90000000,"",MOD(SMALL('节气整理'!$U$2:$U$130,ROWS($H$4:H89)),100000)),"")</x:f>
      </x:c>
    </x:row>
    <x:row r="90">
      <x:c r="A90" s="15" t="str">
        <x:f>IF($H90="","",INDEX('节气整理'!A:A,$H90))</x:f>
      </x:c>
      <x:c r="B90" s="15" t="str">
        <x:f>IF($H90="","",INDEX('节气整理'!B:B,$H90))</x:f>
      </x:c>
      <x:c r="C90" s="15" t="str">
        <x:f>IF($H90="","",INDEX('节气整理'!J:J,$H90))</x:f>
      </x:c>
      <x:c r="D90" s="15" t="str">
        <x:f>IF($H90="","",INDEX('节气整理'!D:D,$H90))</x:f>
      </x:c>
      <x:c r="E90" s="15" t="str">
        <x:f>IF($H90="","",INDEX('节气整理'!F:F,$H90))</x:f>
      </x:c>
      <x:c r="F90" s="15" t="str">
        <x:f>IF($H90="","",INDEX('节气整理'!K:K,$H90))</x:f>
      </x:c>
      <x:c r="G90" s="15" t="str">
        <x:f>IF($H90="","",INDEX('节气整理'!I:I,$H90))</x:f>
      </x:c>
      <x:c r="H90" s="56" t="str">
        <x:f>IFERROR(IF(SMALL('节气整理'!$U$2:$U$130,ROWS($H$4:H90))&gt;=90000000,"",MOD(SMALL('节气整理'!$U$2:$U$130,ROWS($H$4:H90)),100000)),"")</x:f>
      </x:c>
    </x:row>
    <x:row r="91">
      <x:c r="A91" s="15" t="str">
        <x:f>IF($H91="","",INDEX('节气整理'!A:A,$H91))</x:f>
      </x:c>
      <x:c r="B91" s="15" t="str">
        <x:f>IF($H91="","",INDEX('节气整理'!B:B,$H91))</x:f>
      </x:c>
      <x:c r="C91" s="15" t="str">
        <x:f>IF($H91="","",INDEX('节气整理'!J:J,$H91))</x:f>
      </x:c>
      <x:c r="D91" s="15" t="str">
        <x:f>IF($H91="","",INDEX('节气整理'!D:D,$H91))</x:f>
      </x:c>
      <x:c r="E91" s="15" t="str">
        <x:f>IF($H91="","",INDEX('节气整理'!F:F,$H91))</x:f>
      </x:c>
      <x:c r="F91" s="15" t="str">
        <x:f>IF($H91="","",INDEX('节气整理'!K:K,$H91))</x:f>
      </x:c>
      <x:c r="G91" s="15" t="str">
        <x:f>IF($H91="","",INDEX('节气整理'!I:I,$H91))</x:f>
      </x:c>
      <x:c r="H91" s="56" t="str">
        <x:f>IFERROR(IF(SMALL('节气整理'!$U$2:$U$130,ROWS($H$4:H91))&gt;=90000000,"",MOD(SMALL('节气整理'!$U$2:$U$130,ROWS($H$4:H91)),100000)),"")</x:f>
      </x:c>
    </x:row>
    <x:row r="92">
      <x:c r="A92" s="15" t="str">
        <x:f>IF($H92="","",INDEX('节气整理'!A:A,$H92))</x:f>
      </x:c>
      <x:c r="B92" s="15" t="str">
        <x:f>IF($H92="","",INDEX('节气整理'!B:B,$H92))</x:f>
      </x:c>
      <x:c r="C92" s="15" t="str">
        <x:f>IF($H92="","",INDEX('节气整理'!J:J,$H92))</x:f>
      </x:c>
      <x:c r="D92" s="15" t="str">
        <x:f>IF($H92="","",INDEX('节气整理'!D:D,$H92))</x:f>
      </x:c>
      <x:c r="E92" s="15" t="str">
        <x:f>IF($H92="","",INDEX('节气整理'!F:F,$H92))</x:f>
      </x:c>
      <x:c r="F92" s="15" t="str">
        <x:f>IF($H92="","",INDEX('节气整理'!K:K,$H92))</x:f>
      </x:c>
      <x:c r="G92" s="15" t="str">
        <x:f>IF($H92="","",INDEX('节气整理'!I:I,$H92))</x:f>
      </x:c>
      <x:c r="H92" s="56" t="str">
        <x:f>IFERROR(IF(SMALL('节气整理'!$U$2:$U$130,ROWS($H$4:H92))&gt;=90000000,"",MOD(SMALL('节气整理'!$U$2:$U$130,ROWS($H$4:H92)),100000)),"")</x:f>
      </x:c>
    </x:row>
    <x:row r="93">
      <x:c r="A93" s="15" t="str">
        <x:f>IF($H93="","",INDEX('节气整理'!A:A,$H93))</x:f>
      </x:c>
      <x:c r="B93" s="15" t="str">
        <x:f>IF($H93="","",INDEX('节气整理'!B:B,$H93))</x:f>
      </x:c>
      <x:c r="C93" s="15" t="str">
        <x:f>IF($H93="","",INDEX('节气整理'!J:J,$H93))</x:f>
      </x:c>
      <x:c r="D93" s="15" t="str">
        <x:f>IF($H93="","",INDEX('节气整理'!D:D,$H93))</x:f>
      </x:c>
      <x:c r="E93" s="15" t="str">
        <x:f>IF($H93="","",INDEX('节气整理'!F:F,$H93))</x:f>
      </x:c>
      <x:c r="F93" s="15" t="str">
        <x:f>IF($H93="","",INDEX('节气整理'!K:K,$H93))</x:f>
      </x:c>
      <x:c r="G93" s="15" t="str">
        <x:f>IF($H93="","",INDEX('节气整理'!I:I,$H93))</x:f>
      </x:c>
      <x:c r="H93" s="56" t="str">
        <x:f>IFERROR(IF(SMALL('节气整理'!$U$2:$U$130,ROWS($H$4:H93))&gt;=90000000,"",MOD(SMALL('节气整理'!$U$2:$U$130,ROWS($H$4:H93)),100000)),"")</x:f>
      </x:c>
    </x:row>
    <x:row r="94">
      <x:c r="A94" s="15" t="str">
        <x:f>IF($H94="","",INDEX('节气整理'!A:A,$H94))</x:f>
      </x:c>
      <x:c r="B94" s="15" t="str">
        <x:f>IF($H94="","",INDEX('节气整理'!B:B,$H94))</x:f>
      </x:c>
      <x:c r="C94" s="15" t="str">
        <x:f>IF($H94="","",INDEX('节气整理'!J:J,$H94))</x:f>
      </x:c>
      <x:c r="D94" s="15" t="str">
        <x:f>IF($H94="","",INDEX('节气整理'!D:D,$H94))</x:f>
      </x:c>
      <x:c r="E94" s="15" t="str">
        <x:f>IF($H94="","",INDEX('节气整理'!F:F,$H94))</x:f>
      </x:c>
      <x:c r="F94" s="15" t="str">
        <x:f>IF($H94="","",INDEX('节气整理'!K:K,$H94))</x:f>
      </x:c>
      <x:c r="G94" s="15" t="str">
        <x:f>IF($H94="","",INDEX('节气整理'!I:I,$H94))</x:f>
      </x:c>
      <x:c r="H94" s="56" t="str">
        <x:f>IFERROR(IF(SMALL('节气整理'!$U$2:$U$130,ROWS($H$4:H94))&gt;=90000000,"",MOD(SMALL('节气整理'!$U$2:$U$130,ROWS($H$4:H94)),100000)),"")</x:f>
      </x:c>
    </x:row>
    <x:row r="95">
      <x:c r="A95" s="15" t="str">
        <x:f>IF($H95="","",INDEX('节气整理'!A:A,$H95))</x:f>
      </x:c>
      <x:c r="B95" s="15" t="str">
        <x:f>IF($H95="","",INDEX('节气整理'!B:B,$H95))</x:f>
      </x:c>
      <x:c r="C95" s="15" t="str">
        <x:f>IF($H95="","",INDEX('节气整理'!J:J,$H95))</x:f>
      </x:c>
      <x:c r="D95" s="15" t="str">
        <x:f>IF($H95="","",INDEX('节气整理'!D:D,$H95))</x:f>
      </x:c>
      <x:c r="E95" s="15" t="str">
        <x:f>IF($H95="","",INDEX('节气整理'!F:F,$H95))</x:f>
      </x:c>
      <x:c r="F95" s="15" t="str">
        <x:f>IF($H95="","",INDEX('节气整理'!K:K,$H95))</x:f>
      </x:c>
      <x:c r="G95" s="15" t="str">
        <x:f>IF($H95="","",INDEX('节气整理'!I:I,$H95))</x:f>
      </x:c>
      <x:c r="H95" s="56" t="str">
        <x:f>IFERROR(IF(SMALL('节气整理'!$U$2:$U$130,ROWS($H$4:H95))&gt;=90000000,"",MOD(SMALL('节气整理'!$U$2:$U$130,ROWS($H$4:H95)),100000)),"")</x:f>
      </x:c>
    </x:row>
    <x:row r="96">
      <x:c r="A96" s="15" t="str">
        <x:f>IF($H96="","",INDEX('节气整理'!A:A,$H96))</x:f>
      </x:c>
      <x:c r="B96" s="15" t="str">
        <x:f>IF($H96="","",INDEX('节气整理'!B:B,$H96))</x:f>
      </x:c>
      <x:c r="C96" s="15" t="str">
        <x:f>IF($H96="","",INDEX('节气整理'!J:J,$H96))</x:f>
      </x:c>
      <x:c r="D96" s="15" t="str">
        <x:f>IF($H96="","",INDEX('节气整理'!D:D,$H96))</x:f>
      </x:c>
      <x:c r="E96" s="15" t="str">
        <x:f>IF($H96="","",INDEX('节气整理'!F:F,$H96))</x:f>
      </x:c>
      <x:c r="F96" s="15" t="str">
        <x:f>IF($H96="","",INDEX('节气整理'!K:K,$H96))</x:f>
      </x:c>
      <x:c r="G96" s="15" t="str">
        <x:f>IF($H96="","",INDEX('节气整理'!I:I,$H96))</x:f>
      </x:c>
      <x:c r="H96" s="56" t="str">
        <x:f>IFERROR(IF(SMALL('节气整理'!$U$2:$U$130,ROWS($H$4:H96))&gt;=90000000,"",MOD(SMALL('节气整理'!$U$2:$U$130,ROWS($H$4:H96)),100000)),"")</x:f>
      </x:c>
    </x:row>
    <x:row r="97">
      <x:c r="A97" s="15" t="str">
        <x:f>IF($H97="","",INDEX('节气整理'!A:A,$H97))</x:f>
      </x:c>
      <x:c r="B97" s="15" t="str">
        <x:f>IF($H97="","",INDEX('节气整理'!B:B,$H97))</x:f>
      </x:c>
      <x:c r="C97" s="15" t="str">
        <x:f>IF($H97="","",INDEX('节气整理'!J:J,$H97))</x:f>
      </x:c>
      <x:c r="D97" s="15" t="str">
        <x:f>IF($H97="","",INDEX('节气整理'!D:D,$H97))</x:f>
      </x:c>
      <x:c r="E97" s="15" t="str">
        <x:f>IF($H97="","",INDEX('节气整理'!F:F,$H97))</x:f>
      </x:c>
      <x:c r="F97" s="15" t="str">
        <x:f>IF($H97="","",INDEX('节气整理'!K:K,$H97))</x:f>
      </x:c>
      <x:c r="G97" s="15" t="str">
        <x:f>IF($H97="","",INDEX('节气整理'!I:I,$H97))</x:f>
      </x:c>
      <x:c r="H97" s="56" t="str">
        <x:f>IFERROR(IF(SMALL('节气整理'!$U$2:$U$130,ROWS($H$4:H97))&gt;=90000000,"",MOD(SMALL('节气整理'!$U$2:$U$130,ROWS($H$4:H97)),100000)),"")</x:f>
      </x:c>
    </x:row>
    <x:row r="98">
      <x:c r="A98" s="15" t="str">
        <x:f>IF($H98="","",INDEX('节气整理'!A:A,$H98))</x:f>
      </x:c>
      <x:c r="B98" s="15" t="str">
        <x:f>IF($H98="","",INDEX('节气整理'!B:B,$H98))</x:f>
      </x:c>
      <x:c r="C98" s="15" t="str">
        <x:f>IF($H98="","",INDEX('节气整理'!J:J,$H98))</x:f>
      </x:c>
      <x:c r="D98" s="15" t="str">
        <x:f>IF($H98="","",INDEX('节气整理'!D:D,$H98))</x:f>
      </x:c>
      <x:c r="E98" s="15" t="str">
        <x:f>IF($H98="","",INDEX('节气整理'!F:F,$H98))</x:f>
      </x:c>
      <x:c r="F98" s="15" t="str">
        <x:f>IF($H98="","",INDEX('节气整理'!K:K,$H98))</x:f>
      </x:c>
      <x:c r="G98" s="15" t="str">
        <x:f>IF($H98="","",INDEX('节气整理'!I:I,$H98))</x:f>
      </x:c>
      <x:c r="H98" s="56" t="str">
        <x:f>IFERROR(IF(SMALL('节气整理'!$U$2:$U$130,ROWS($H$4:H98))&gt;=90000000,"",MOD(SMALL('节气整理'!$U$2:$U$130,ROWS($H$4:H98)),100000)),"")</x:f>
      </x:c>
    </x:row>
    <x:row r="99">
      <x:c r="A99" s="15" t="str">
        <x:f>IF($H99="","",INDEX('节气整理'!A:A,$H99))</x:f>
      </x:c>
      <x:c r="B99" s="15" t="str">
        <x:f>IF($H99="","",INDEX('节气整理'!B:B,$H99))</x:f>
      </x:c>
      <x:c r="C99" s="15" t="str">
        <x:f>IF($H99="","",INDEX('节气整理'!J:J,$H99))</x:f>
      </x:c>
      <x:c r="D99" s="15" t="str">
        <x:f>IF($H99="","",INDEX('节气整理'!D:D,$H99))</x:f>
      </x:c>
      <x:c r="E99" s="15" t="str">
        <x:f>IF($H99="","",INDEX('节气整理'!F:F,$H99))</x:f>
      </x:c>
      <x:c r="F99" s="15" t="str">
        <x:f>IF($H99="","",INDEX('节气整理'!K:K,$H99))</x:f>
      </x:c>
      <x:c r="G99" s="15" t="str">
        <x:f>IF($H99="","",INDEX('节气整理'!I:I,$H99))</x:f>
      </x:c>
      <x:c r="H99" s="56" t="str">
        <x:f>IFERROR(IF(SMALL('节气整理'!$U$2:$U$130,ROWS($H$4:H99))&gt;=90000000,"",MOD(SMALL('节气整理'!$U$2:$U$130,ROWS($H$4:H99)),100000)),"")</x:f>
      </x:c>
    </x:row>
    <x:row r="100">
      <x:c r="A100" s="15" t="str">
        <x:f>IF($H100="","",INDEX('节气整理'!A:A,$H100))</x:f>
      </x:c>
      <x:c r="B100" s="15" t="str">
        <x:f>IF($H100="","",INDEX('节气整理'!B:B,$H100))</x:f>
      </x:c>
      <x:c r="C100" s="15" t="str">
        <x:f>IF($H100="","",INDEX('节气整理'!J:J,$H100))</x:f>
      </x:c>
      <x:c r="D100" s="15" t="str">
        <x:f>IF($H100="","",INDEX('节气整理'!D:D,$H100))</x:f>
      </x:c>
      <x:c r="E100" s="15" t="str">
        <x:f>IF($H100="","",INDEX('节气整理'!F:F,$H100))</x:f>
      </x:c>
      <x:c r="F100" s="15" t="str">
        <x:f>IF($H100="","",INDEX('节气整理'!K:K,$H100))</x:f>
      </x:c>
      <x:c r="G100" s="15" t="str">
        <x:f>IF($H100="","",INDEX('节气整理'!I:I,$H100))</x:f>
      </x:c>
      <x:c r="H100" s="56" t="str">
        <x:f>IFERROR(IF(SMALL('节气整理'!$U$2:$U$130,ROWS($H$4:H100))&gt;=90000000,"",MOD(SMALL('节气整理'!$U$2:$U$130,ROWS($H$4:H100)),100000)),"")</x:f>
      </x:c>
    </x:row>
    <x:row r="101">
      <x:c r="A101" s="15" t="str">
        <x:f>IF($H101="","",INDEX('节气整理'!A:A,$H101))</x:f>
      </x:c>
      <x:c r="B101" s="15" t="str">
        <x:f>IF($H101="","",INDEX('节气整理'!B:B,$H101))</x:f>
      </x:c>
      <x:c r="C101" s="15" t="str">
        <x:f>IF($H101="","",INDEX('节气整理'!J:J,$H101))</x:f>
      </x:c>
      <x:c r="D101" s="15" t="str">
        <x:f>IF($H101="","",INDEX('节气整理'!D:D,$H101))</x:f>
      </x:c>
      <x:c r="E101" s="15" t="str">
        <x:f>IF($H101="","",INDEX('节气整理'!F:F,$H101))</x:f>
      </x:c>
      <x:c r="F101" s="15" t="str">
        <x:f>IF($H101="","",INDEX('节气整理'!K:K,$H101))</x:f>
      </x:c>
      <x:c r="G101" s="15" t="str">
        <x:f>IF($H101="","",INDEX('节气整理'!I:I,$H101))</x:f>
      </x:c>
      <x:c r="H101" s="56" t="str">
        <x:f>IFERROR(IF(SMALL('节气整理'!$U$2:$U$130,ROWS($H$4:H101))&gt;=90000000,"",MOD(SMALL('节气整理'!$U$2:$U$130,ROWS($H$4:H101)),100000)),"")</x:f>
      </x:c>
    </x:row>
    <x:row r="102">
      <x:c r="A102" s="15" t="str">
        <x:f>IF($H102="","",INDEX('节气整理'!A:A,$H102))</x:f>
      </x:c>
      <x:c r="B102" s="15" t="str">
        <x:f>IF($H102="","",INDEX('节气整理'!B:B,$H102))</x:f>
      </x:c>
      <x:c r="C102" s="15" t="str">
        <x:f>IF($H102="","",INDEX('节气整理'!J:J,$H102))</x:f>
      </x:c>
      <x:c r="D102" s="15" t="str">
        <x:f>IF($H102="","",INDEX('节气整理'!D:D,$H102))</x:f>
      </x:c>
      <x:c r="E102" s="15" t="str">
        <x:f>IF($H102="","",INDEX('节气整理'!F:F,$H102))</x:f>
      </x:c>
      <x:c r="F102" s="15" t="str">
        <x:f>IF($H102="","",INDEX('节气整理'!K:K,$H102))</x:f>
      </x:c>
      <x:c r="G102" s="15" t="str">
        <x:f>IF($H102="","",INDEX('节气整理'!I:I,$H102))</x:f>
      </x:c>
      <x:c r="H102" s="56" t="str">
        <x:f>IFERROR(IF(SMALL('节气整理'!$U$2:$U$130,ROWS($H$4:H102))&gt;=90000000,"",MOD(SMALL('节气整理'!$U$2:$U$130,ROWS($H$4:H102)),100000)),"")</x:f>
      </x:c>
    </x:row>
    <x:row r="103">
      <x:c r="A103" s="15" t="str">
        <x:f>IF($H103="","",INDEX('节气整理'!A:A,$H103))</x:f>
      </x:c>
      <x:c r="B103" s="15" t="str">
        <x:f>IF($H103="","",INDEX('节气整理'!B:B,$H103))</x:f>
      </x:c>
      <x:c r="C103" s="15" t="str">
        <x:f>IF($H103="","",INDEX('节气整理'!J:J,$H103))</x:f>
      </x:c>
      <x:c r="D103" s="15" t="str">
        <x:f>IF($H103="","",INDEX('节气整理'!D:D,$H103))</x:f>
      </x:c>
      <x:c r="E103" s="15" t="str">
        <x:f>IF($H103="","",INDEX('节气整理'!F:F,$H103))</x:f>
      </x:c>
      <x:c r="F103" s="15" t="str">
        <x:f>IF($H103="","",INDEX('节气整理'!K:K,$H103))</x:f>
      </x:c>
      <x:c r="G103" s="15" t="str">
        <x:f>IF($H103="","",INDEX('节气整理'!I:I,$H103))</x:f>
      </x:c>
      <x:c r="H103" s="56" t="str">
        <x:f>IFERROR(IF(SMALL('节气整理'!$U$2:$U$130,ROWS($H$4:H103))&gt;=90000000,"",MOD(SMALL('节气整理'!$U$2:$U$130,ROWS($H$4:H103)),100000)),"")</x:f>
      </x:c>
    </x:row>
    <x:row r="104">
      <x:c r="A104" s="15" t="str">
        <x:f>IF($H104="","",INDEX('节气整理'!A:A,$H104))</x:f>
      </x:c>
      <x:c r="B104" s="15" t="str">
        <x:f>IF($H104="","",INDEX('节气整理'!B:B,$H104))</x:f>
      </x:c>
      <x:c r="C104" s="15" t="str">
        <x:f>IF($H104="","",INDEX('节气整理'!J:J,$H104))</x:f>
      </x:c>
      <x:c r="D104" s="15" t="str">
        <x:f>IF($H104="","",INDEX('节气整理'!D:D,$H104))</x:f>
      </x:c>
      <x:c r="E104" s="15" t="str">
        <x:f>IF($H104="","",INDEX('节气整理'!F:F,$H104))</x:f>
      </x:c>
      <x:c r="F104" s="15" t="str">
        <x:f>IF($H104="","",INDEX('节气整理'!K:K,$H104))</x:f>
      </x:c>
      <x:c r="G104" s="15" t="str">
        <x:f>IF($H104="","",INDEX('节气整理'!I:I,$H104))</x:f>
      </x:c>
      <x:c r="H104" s="56" t="str">
        <x:f>IFERROR(IF(SMALL('节气整理'!$U$2:$U$130,ROWS($H$4:H104))&gt;=90000000,"",MOD(SMALL('节气整理'!$U$2:$U$130,ROWS($H$4:H104)),100000)),"")</x:f>
      </x:c>
    </x:row>
    <x:row r="105">
      <x:c r="A105" s="15" t="str">
        <x:f>IF($H105="","",INDEX('节气整理'!A:A,$H105))</x:f>
      </x:c>
      <x:c r="B105" s="15" t="str">
        <x:f>IF($H105="","",INDEX('节气整理'!B:B,$H105))</x:f>
      </x:c>
      <x:c r="C105" s="15" t="str">
        <x:f>IF($H105="","",INDEX('节气整理'!J:J,$H105))</x:f>
      </x:c>
      <x:c r="D105" s="15" t="str">
        <x:f>IF($H105="","",INDEX('节气整理'!D:D,$H105))</x:f>
      </x:c>
      <x:c r="E105" s="15" t="str">
        <x:f>IF($H105="","",INDEX('节气整理'!F:F,$H105))</x:f>
      </x:c>
      <x:c r="F105" s="15" t="str">
        <x:f>IF($H105="","",INDEX('节气整理'!K:K,$H105))</x:f>
      </x:c>
      <x:c r="G105" s="15" t="str">
        <x:f>IF($H105="","",INDEX('节气整理'!I:I,$H105))</x:f>
      </x:c>
      <x:c r="H105" s="56" t="str">
        <x:f>IFERROR(IF(SMALL('节气整理'!$U$2:$U$130,ROWS($H$4:H105))&gt;=90000000,"",MOD(SMALL('节气整理'!$U$2:$U$130,ROWS($H$4:H105)),100000)),"")</x:f>
      </x:c>
    </x:row>
    <x:row r="106">
      <x:c r="A106" s="15" t="str">
        <x:f>IF($H106="","",INDEX('节气整理'!A:A,$H106))</x:f>
      </x:c>
      <x:c r="B106" s="15" t="str">
        <x:f>IF($H106="","",INDEX('节气整理'!B:B,$H106))</x:f>
      </x:c>
      <x:c r="C106" s="15" t="str">
        <x:f>IF($H106="","",INDEX('节气整理'!J:J,$H106))</x:f>
      </x:c>
      <x:c r="D106" s="15" t="str">
        <x:f>IF($H106="","",INDEX('节气整理'!D:D,$H106))</x:f>
      </x:c>
      <x:c r="E106" s="15" t="str">
        <x:f>IF($H106="","",INDEX('节气整理'!F:F,$H106))</x:f>
      </x:c>
      <x:c r="F106" s="15" t="str">
        <x:f>IF($H106="","",INDEX('节气整理'!K:K,$H106))</x:f>
      </x:c>
      <x:c r="G106" s="15" t="str">
        <x:f>IF($H106="","",INDEX('节气整理'!I:I,$H106))</x:f>
      </x:c>
      <x:c r="H106" s="56" t="str">
        <x:f>IFERROR(IF(SMALL('节气整理'!$U$2:$U$130,ROWS($H$4:H106))&gt;=90000000,"",MOD(SMALL('节气整理'!$U$2:$U$130,ROWS($H$4:H106)),100000)),"")</x:f>
      </x:c>
    </x:row>
    <x:row r="107">
      <x:c r="A107" s="15" t="str">
        <x:f>IF($H107="","",INDEX('节气整理'!A:A,$H107))</x:f>
      </x:c>
      <x:c r="B107" s="15" t="str">
        <x:f>IF($H107="","",INDEX('节气整理'!B:B,$H107))</x:f>
      </x:c>
      <x:c r="C107" s="15" t="str">
        <x:f>IF($H107="","",INDEX('节气整理'!J:J,$H107))</x:f>
      </x:c>
      <x:c r="D107" s="15" t="str">
        <x:f>IF($H107="","",INDEX('节气整理'!D:D,$H107))</x:f>
      </x:c>
      <x:c r="E107" s="15" t="str">
        <x:f>IF($H107="","",INDEX('节气整理'!F:F,$H107))</x:f>
      </x:c>
      <x:c r="F107" s="15" t="str">
        <x:f>IF($H107="","",INDEX('节气整理'!K:K,$H107))</x:f>
      </x:c>
      <x:c r="G107" s="15" t="str">
        <x:f>IF($H107="","",INDEX('节气整理'!I:I,$H107))</x:f>
      </x:c>
      <x:c r="H107" s="56" t="str">
        <x:f>IFERROR(IF(SMALL('节气整理'!$U$2:$U$130,ROWS($H$4:H107))&gt;=90000000,"",MOD(SMALL('节气整理'!$U$2:$U$130,ROWS($H$4:H107)),100000)),"")</x:f>
      </x:c>
    </x:row>
    <x:row r="108">
      <x:c r="A108" s="15" t="str">
        <x:f>IF($H108="","",INDEX('节气整理'!A:A,$H108))</x:f>
      </x:c>
      <x:c r="B108" s="15" t="str">
        <x:f>IF($H108="","",INDEX('节气整理'!B:B,$H108))</x:f>
      </x:c>
      <x:c r="C108" s="15" t="str">
        <x:f>IF($H108="","",INDEX('节气整理'!J:J,$H108))</x:f>
      </x:c>
      <x:c r="D108" s="15" t="str">
        <x:f>IF($H108="","",INDEX('节气整理'!D:D,$H108))</x:f>
      </x:c>
      <x:c r="E108" s="15" t="str">
        <x:f>IF($H108="","",INDEX('节气整理'!F:F,$H108))</x:f>
      </x:c>
      <x:c r="F108" s="15" t="str">
        <x:f>IF($H108="","",INDEX('节气整理'!K:K,$H108))</x:f>
      </x:c>
      <x:c r="G108" s="15" t="str">
        <x:f>IF($H108="","",INDEX('节气整理'!I:I,$H108))</x:f>
      </x:c>
      <x:c r="H108" s="56" t="str">
        <x:f>IFERROR(IF(SMALL('节气整理'!$U$2:$U$130,ROWS($H$4:H108))&gt;=90000000,"",MOD(SMALL('节气整理'!$U$2:$U$130,ROWS($H$4:H108)),100000)),"")</x:f>
      </x:c>
    </x:row>
    <x:row r="109">
      <x:c r="A109" s="15" t="str">
        <x:f>IF($H109="","",INDEX('节气整理'!A:A,$H109))</x:f>
      </x:c>
      <x:c r="B109" s="15" t="str">
        <x:f>IF($H109="","",INDEX('节气整理'!B:B,$H109))</x:f>
      </x:c>
      <x:c r="C109" s="15" t="str">
        <x:f>IF($H109="","",INDEX('节气整理'!J:J,$H109))</x:f>
      </x:c>
      <x:c r="D109" s="15" t="str">
        <x:f>IF($H109="","",INDEX('节气整理'!D:D,$H109))</x:f>
      </x:c>
      <x:c r="E109" s="15" t="str">
        <x:f>IF($H109="","",INDEX('节气整理'!F:F,$H109))</x:f>
      </x:c>
      <x:c r="F109" s="15" t="str">
        <x:f>IF($H109="","",INDEX('节气整理'!K:K,$H109))</x:f>
      </x:c>
      <x:c r="G109" s="15" t="str">
        <x:f>IF($H109="","",INDEX('节气整理'!I:I,$H109))</x:f>
      </x:c>
      <x:c r="H109" s="56" t="str">
        <x:f>IFERROR(IF(SMALL('节气整理'!$U$2:$U$130,ROWS($H$4:H109))&gt;=90000000,"",MOD(SMALL('节气整理'!$U$2:$U$130,ROWS($H$4:H109)),100000)),"")</x:f>
      </x:c>
    </x:row>
    <x:row r="110">
      <x:c r="A110" s="15" t="str">
        <x:f>IF($H110="","",INDEX('节气整理'!A:A,$H110))</x:f>
      </x:c>
      <x:c r="B110" s="15" t="str">
        <x:f>IF($H110="","",INDEX('节气整理'!B:B,$H110))</x:f>
      </x:c>
      <x:c r="C110" s="15" t="str">
        <x:f>IF($H110="","",INDEX('节气整理'!J:J,$H110))</x:f>
      </x:c>
      <x:c r="D110" s="15" t="str">
        <x:f>IF($H110="","",INDEX('节气整理'!D:D,$H110))</x:f>
      </x:c>
      <x:c r="E110" s="15" t="str">
        <x:f>IF($H110="","",INDEX('节气整理'!F:F,$H110))</x:f>
      </x:c>
      <x:c r="F110" s="15" t="str">
        <x:f>IF($H110="","",INDEX('节气整理'!K:K,$H110))</x:f>
      </x:c>
      <x:c r="G110" s="15" t="str">
        <x:f>IF($H110="","",INDEX('节气整理'!I:I,$H110))</x:f>
      </x:c>
      <x:c r="H110" s="56" t="str">
        <x:f>IFERROR(IF(SMALL('节气整理'!$U$2:$U$130,ROWS($H$4:H110))&gt;=90000000,"",MOD(SMALL('节气整理'!$U$2:$U$130,ROWS($H$4:H110)),100000)),"")</x:f>
      </x:c>
    </x:row>
    <x:row r="111">
      <x:c r="A111" s="15" t="str">
        <x:f>IF($H111="","",INDEX('节气整理'!A:A,$H111))</x:f>
      </x:c>
      <x:c r="B111" s="15" t="str">
        <x:f>IF($H111="","",INDEX('节气整理'!B:B,$H111))</x:f>
      </x:c>
      <x:c r="C111" s="15" t="str">
        <x:f>IF($H111="","",INDEX('节气整理'!J:J,$H111))</x:f>
      </x:c>
      <x:c r="D111" s="15" t="str">
        <x:f>IF($H111="","",INDEX('节气整理'!D:D,$H111))</x:f>
      </x:c>
      <x:c r="E111" s="15" t="str">
        <x:f>IF($H111="","",INDEX('节气整理'!F:F,$H111))</x:f>
      </x:c>
      <x:c r="F111" s="15" t="str">
        <x:f>IF($H111="","",INDEX('节气整理'!K:K,$H111))</x:f>
      </x:c>
      <x:c r="G111" s="15" t="str">
        <x:f>IF($H111="","",INDEX('节气整理'!I:I,$H111))</x:f>
      </x:c>
      <x:c r="H111" s="56" t="str">
        <x:f>IFERROR(IF(SMALL('节气整理'!$U$2:$U$130,ROWS($H$4:H111))&gt;=90000000,"",MOD(SMALL('节气整理'!$U$2:$U$130,ROWS($H$4:H111)),100000)),"")</x:f>
      </x:c>
    </x:row>
    <x:row r="112">
      <x:c r="A112" s="15" t="str">
        <x:f>IF($H112="","",INDEX('节气整理'!A:A,$H112))</x:f>
      </x:c>
      <x:c r="B112" s="15" t="str">
        <x:f>IF($H112="","",INDEX('节气整理'!B:B,$H112))</x:f>
      </x:c>
      <x:c r="C112" s="15" t="str">
        <x:f>IF($H112="","",INDEX('节气整理'!J:J,$H112))</x:f>
      </x:c>
      <x:c r="D112" s="15" t="str">
        <x:f>IF($H112="","",INDEX('节气整理'!D:D,$H112))</x:f>
      </x:c>
      <x:c r="E112" s="15" t="str">
        <x:f>IF($H112="","",INDEX('节气整理'!F:F,$H112))</x:f>
      </x:c>
      <x:c r="F112" s="15" t="str">
        <x:f>IF($H112="","",INDEX('节气整理'!K:K,$H112))</x:f>
      </x:c>
      <x:c r="G112" s="15" t="str">
        <x:f>IF($H112="","",INDEX('节气整理'!I:I,$H112))</x:f>
      </x:c>
      <x:c r="H112" s="56" t="str">
        <x:f>IFERROR(IF(SMALL('节气整理'!$U$2:$U$130,ROWS($H$4:H112))&gt;=90000000,"",MOD(SMALL('节气整理'!$U$2:$U$130,ROWS($H$4:H112)),100000)),"")</x:f>
      </x:c>
    </x:row>
    <x:row r="113">
      <x:c r="A113" s="15" t="str">
        <x:f>IF($H113="","",INDEX('节气整理'!A:A,$H113))</x:f>
      </x:c>
      <x:c r="B113" s="15" t="str">
        <x:f>IF($H113="","",INDEX('节气整理'!B:B,$H113))</x:f>
      </x:c>
      <x:c r="C113" s="15" t="str">
        <x:f>IF($H113="","",INDEX('节气整理'!J:J,$H113))</x:f>
      </x:c>
      <x:c r="D113" s="15" t="str">
        <x:f>IF($H113="","",INDEX('节气整理'!D:D,$H113))</x:f>
      </x:c>
      <x:c r="E113" s="15" t="str">
        <x:f>IF($H113="","",INDEX('节气整理'!F:F,$H113))</x:f>
      </x:c>
      <x:c r="F113" s="15" t="str">
        <x:f>IF($H113="","",INDEX('节气整理'!K:K,$H113))</x:f>
      </x:c>
      <x:c r="G113" s="15" t="str">
        <x:f>IF($H113="","",INDEX('节气整理'!I:I,$H113))</x:f>
      </x:c>
      <x:c r="H113" s="56" t="str">
        <x:f>IFERROR(IF(SMALL('节气整理'!$U$2:$U$130,ROWS($H$4:H113))&gt;=90000000,"",MOD(SMALL('节气整理'!$U$2:$U$130,ROWS($H$4:H113)),100000)),"")</x:f>
      </x:c>
    </x:row>
    <x:row r="114">
      <x:c r="A114" s="15" t="str">
        <x:f>IF($H114="","",INDEX('节气整理'!A:A,$H114))</x:f>
      </x:c>
      <x:c r="B114" s="15" t="str">
        <x:f>IF($H114="","",INDEX('节气整理'!B:B,$H114))</x:f>
      </x:c>
      <x:c r="C114" s="15" t="str">
        <x:f>IF($H114="","",INDEX('节气整理'!J:J,$H114))</x:f>
      </x:c>
      <x:c r="D114" s="15" t="str">
        <x:f>IF($H114="","",INDEX('节气整理'!D:D,$H114))</x:f>
      </x:c>
      <x:c r="E114" s="15" t="str">
        <x:f>IF($H114="","",INDEX('节气整理'!F:F,$H114))</x:f>
      </x:c>
      <x:c r="F114" s="15" t="str">
        <x:f>IF($H114="","",INDEX('节气整理'!K:K,$H114))</x:f>
      </x:c>
      <x:c r="G114" s="15" t="str">
        <x:f>IF($H114="","",INDEX('节气整理'!I:I,$H114))</x:f>
      </x:c>
      <x:c r="H114" s="56" t="str">
        <x:f>IFERROR(IF(SMALL('节气整理'!$U$2:$U$130,ROWS($H$4:H114))&gt;=90000000,"",MOD(SMALL('节气整理'!$U$2:$U$130,ROWS($H$4:H114)),100000)),"")</x:f>
      </x:c>
    </x:row>
    <x:row r="115">
      <x:c r="A115" s="15" t="str">
        <x:f>IF($H115="","",INDEX('节气整理'!A:A,$H115))</x:f>
      </x:c>
      <x:c r="B115" s="15" t="str">
        <x:f>IF($H115="","",INDEX('节气整理'!B:B,$H115))</x:f>
      </x:c>
      <x:c r="C115" s="15" t="str">
        <x:f>IF($H115="","",INDEX('节气整理'!J:J,$H115))</x:f>
      </x:c>
      <x:c r="D115" s="15" t="str">
        <x:f>IF($H115="","",INDEX('节气整理'!D:D,$H115))</x:f>
      </x:c>
      <x:c r="E115" s="15" t="str">
        <x:f>IF($H115="","",INDEX('节气整理'!F:F,$H115))</x:f>
      </x:c>
      <x:c r="F115" s="15" t="str">
        <x:f>IF($H115="","",INDEX('节气整理'!K:K,$H115))</x:f>
      </x:c>
      <x:c r="G115" s="15" t="str">
        <x:f>IF($H115="","",INDEX('节气整理'!I:I,$H115))</x:f>
      </x:c>
      <x:c r="H115" s="56" t="str">
        <x:f>IFERROR(IF(SMALL('节气整理'!$U$2:$U$130,ROWS($H$4:H115))&gt;=90000000,"",MOD(SMALL('节气整理'!$U$2:$U$130,ROWS($H$4:H115)),100000)),"")</x:f>
      </x:c>
    </x:row>
    <x:row r="116">
      <x:c r="A116" s="15" t="str">
        <x:f>IF($H116="","",INDEX('节气整理'!A:A,$H116))</x:f>
      </x:c>
      <x:c r="B116" s="15" t="str">
        <x:f>IF($H116="","",INDEX('节气整理'!B:B,$H116))</x:f>
      </x:c>
      <x:c r="C116" s="15" t="str">
        <x:f>IF($H116="","",INDEX('节气整理'!J:J,$H116))</x:f>
      </x:c>
      <x:c r="D116" s="15" t="str">
        <x:f>IF($H116="","",INDEX('节气整理'!D:D,$H116))</x:f>
      </x:c>
      <x:c r="E116" s="15" t="str">
        <x:f>IF($H116="","",INDEX('节气整理'!F:F,$H116))</x:f>
      </x:c>
      <x:c r="F116" s="15" t="str">
        <x:f>IF($H116="","",INDEX('节气整理'!K:K,$H116))</x:f>
      </x:c>
      <x:c r="G116" s="15" t="str">
        <x:f>IF($H116="","",INDEX('节气整理'!I:I,$H116))</x:f>
      </x:c>
      <x:c r="H116" s="56" t="str">
        <x:f>IFERROR(IF(SMALL('节气整理'!$U$2:$U$130,ROWS($H$4:H116))&gt;=90000000,"",MOD(SMALL('节气整理'!$U$2:$U$130,ROWS($H$4:H116)),100000)),"")</x:f>
      </x:c>
    </x:row>
    <x:row r="117">
      <x:c r="A117" s="15" t="str">
        <x:f>IF($H117="","",INDEX('节气整理'!A:A,$H117))</x:f>
      </x:c>
      <x:c r="B117" s="15" t="str">
        <x:f>IF($H117="","",INDEX('节气整理'!B:B,$H117))</x:f>
      </x:c>
      <x:c r="C117" s="15" t="str">
        <x:f>IF($H117="","",INDEX('节气整理'!J:J,$H117))</x:f>
      </x:c>
      <x:c r="D117" s="15" t="str">
        <x:f>IF($H117="","",INDEX('节气整理'!D:D,$H117))</x:f>
      </x:c>
      <x:c r="E117" s="15" t="str">
        <x:f>IF($H117="","",INDEX('节气整理'!F:F,$H117))</x:f>
      </x:c>
      <x:c r="F117" s="15" t="str">
        <x:f>IF($H117="","",INDEX('节气整理'!K:K,$H117))</x:f>
      </x:c>
      <x:c r="G117" s="15" t="str">
        <x:f>IF($H117="","",INDEX('节气整理'!I:I,$H117))</x:f>
      </x:c>
      <x:c r="H117" s="56" t="str">
        <x:f>IFERROR(IF(SMALL('节气整理'!$U$2:$U$130,ROWS($H$4:H117))&gt;=90000000,"",MOD(SMALL('节气整理'!$U$2:$U$130,ROWS($H$4:H117)),100000)),"")</x:f>
      </x:c>
    </x:row>
    <x:row r="118">
      <x:c r="A118" s="15" t="str">
        <x:f>IF($H118="","",INDEX('节气整理'!A:A,$H118))</x:f>
      </x:c>
      <x:c r="B118" s="15" t="str">
        <x:f>IF($H118="","",INDEX('节气整理'!B:B,$H118))</x:f>
      </x:c>
      <x:c r="C118" s="15" t="str">
        <x:f>IF($H118="","",INDEX('节气整理'!J:J,$H118))</x:f>
      </x:c>
      <x:c r="D118" s="15" t="str">
        <x:f>IF($H118="","",INDEX('节气整理'!D:D,$H118))</x:f>
      </x:c>
      <x:c r="E118" s="15" t="str">
        <x:f>IF($H118="","",INDEX('节气整理'!F:F,$H118))</x:f>
      </x:c>
      <x:c r="F118" s="15" t="str">
        <x:f>IF($H118="","",INDEX('节气整理'!K:K,$H118))</x:f>
      </x:c>
      <x:c r="G118" s="15" t="str">
        <x:f>IF($H118="","",INDEX('节气整理'!I:I,$H118))</x:f>
      </x:c>
      <x:c r="H118" s="56" t="str">
        <x:f>IFERROR(IF(SMALL('节气整理'!$U$2:$U$130,ROWS($H$4:H118))&gt;=90000000,"",MOD(SMALL('节气整理'!$U$2:$U$130,ROWS($H$4:H118)),100000)),"")</x:f>
      </x:c>
    </x:row>
    <x:row r="119">
      <x:c r="A119" s="15" t="str">
        <x:f>IF($H119="","",INDEX('节气整理'!A:A,$H119))</x:f>
      </x:c>
      <x:c r="B119" s="15" t="str">
        <x:f>IF($H119="","",INDEX('节气整理'!B:B,$H119))</x:f>
      </x:c>
      <x:c r="C119" s="15" t="str">
        <x:f>IF($H119="","",INDEX('节气整理'!J:J,$H119))</x:f>
      </x:c>
      <x:c r="D119" s="15" t="str">
        <x:f>IF($H119="","",INDEX('节气整理'!D:D,$H119))</x:f>
      </x:c>
      <x:c r="E119" s="15" t="str">
        <x:f>IF($H119="","",INDEX('节气整理'!F:F,$H119))</x:f>
      </x:c>
      <x:c r="F119" s="15" t="str">
        <x:f>IF($H119="","",INDEX('节气整理'!K:K,$H119))</x:f>
      </x:c>
      <x:c r="G119" s="15" t="str">
        <x:f>IF($H119="","",INDEX('节气整理'!I:I,$H119))</x:f>
      </x:c>
      <x:c r="H119" s="56" t="str">
        <x:f>IFERROR(IF(SMALL('节气整理'!$U$2:$U$130,ROWS($H$4:H119))&gt;=90000000,"",MOD(SMALL('节气整理'!$U$2:$U$130,ROWS($H$4:H119)),100000)),"")</x:f>
      </x:c>
    </x:row>
    <x:row r="120">
      <x:c r="A120" s="15" t="str">
        <x:f>IF($H120="","",INDEX('节气整理'!A:A,$H120))</x:f>
      </x:c>
      <x:c r="B120" s="15" t="str">
        <x:f>IF($H120="","",INDEX('节气整理'!B:B,$H120))</x:f>
      </x:c>
      <x:c r="C120" s="15" t="str">
        <x:f>IF($H120="","",INDEX('节气整理'!J:J,$H120))</x:f>
      </x:c>
      <x:c r="D120" s="15" t="str">
        <x:f>IF($H120="","",INDEX('节气整理'!D:D,$H120))</x:f>
      </x:c>
      <x:c r="E120" s="15" t="str">
        <x:f>IF($H120="","",INDEX('节气整理'!F:F,$H120))</x:f>
      </x:c>
      <x:c r="F120" s="15" t="str">
        <x:f>IF($H120="","",INDEX('节气整理'!K:K,$H120))</x:f>
      </x:c>
      <x:c r="G120" s="15" t="str">
        <x:f>IF($H120="","",INDEX('节气整理'!I:I,$H120))</x:f>
      </x:c>
      <x:c r="H120" s="56" t="str">
        <x:f>IFERROR(IF(SMALL('节气整理'!$U$2:$U$130,ROWS($H$4:H120))&gt;=90000000,"",MOD(SMALL('节气整理'!$U$2:$U$130,ROWS($H$4:H120)),100000)),"")</x:f>
      </x:c>
    </x:row>
    <x:row r="121">
      <x:c r="A121" s="15" t="str">
        <x:f>IF($H121="","",INDEX('节气整理'!A:A,$H121))</x:f>
      </x:c>
      <x:c r="B121" s="15" t="str">
        <x:f>IF($H121="","",INDEX('节气整理'!B:B,$H121))</x:f>
      </x:c>
      <x:c r="C121" s="15" t="str">
        <x:f>IF($H121="","",INDEX('节气整理'!J:J,$H121))</x:f>
      </x:c>
      <x:c r="D121" s="15" t="str">
        <x:f>IF($H121="","",INDEX('节气整理'!D:D,$H121))</x:f>
      </x:c>
      <x:c r="E121" s="15" t="str">
        <x:f>IF($H121="","",INDEX('节气整理'!F:F,$H121))</x:f>
      </x:c>
      <x:c r="F121" s="15" t="str">
        <x:f>IF($H121="","",INDEX('节气整理'!K:K,$H121))</x:f>
      </x:c>
      <x:c r="G121" s="15" t="str">
        <x:f>IF($H121="","",INDEX('节气整理'!I:I,$H121))</x:f>
      </x:c>
      <x:c r="H121" s="56" t="str">
        <x:f>IFERROR(IF(SMALL('节气整理'!$U$2:$U$130,ROWS($H$4:H121))&gt;=90000000,"",MOD(SMALL('节气整理'!$U$2:$U$130,ROWS($H$4:H121)),100000)),"")</x:f>
      </x:c>
    </x:row>
    <x:row r="122">
      <x:c r="A122" s="15" t="str">
        <x:f>IF($H122="","",INDEX('节气整理'!A:A,$H122))</x:f>
      </x:c>
      <x:c r="B122" s="15" t="str">
        <x:f>IF($H122="","",INDEX('节气整理'!B:B,$H122))</x:f>
      </x:c>
      <x:c r="C122" s="15" t="str">
        <x:f>IF($H122="","",INDEX('节气整理'!J:J,$H122))</x:f>
      </x:c>
      <x:c r="D122" s="15" t="str">
        <x:f>IF($H122="","",INDEX('节气整理'!D:D,$H122))</x:f>
      </x:c>
      <x:c r="E122" s="15" t="str">
        <x:f>IF($H122="","",INDEX('节气整理'!F:F,$H122))</x:f>
      </x:c>
      <x:c r="F122" s="15" t="str">
        <x:f>IF($H122="","",INDEX('节气整理'!K:K,$H122))</x:f>
      </x:c>
      <x:c r="G122" s="15" t="str">
        <x:f>IF($H122="","",INDEX('节气整理'!I:I,$H122))</x:f>
      </x:c>
      <x:c r="H122" s="56" t="str">
        <x:f>IFERROR(IF(SMALL('节气整理'!$U$2:$U$130,ROWS($H$4:H122))&gt;=90000000,"",MOD(SMALL('节气整理'!$U$2:$U$130,ROWS($H$4:H122)),100000)),"")</x:f>
      </x:c>
    </x:row>
    <x:row r="123">
      <x:c r="A123" s="15" t="str">
        <x:f>IF($H123="","",INDEX('节气整理'!A:A,$H123))</x:f>
      </x:c>
      <x:c r="B123" s="15" t="str">
        <x:f>IF($H123="","",INDEX('节气整理'!B:B,$H123))</x:f>
      </x:c>
      <x:c r="C123" s="15" t="str">
        <x:f>IF($H123="","",INDEX('节气整理'!J:J,$H123))</x:f>
      </x:c>
      <x:c r="D123" s="15" t="str">
        <x:f>IF($H123="","",INDEX('节气整理'!D:D,$H123))</x:f>
      </x:c>
      <x:c r="E123" s="15" t="str">
        <x:f>IF($H123="","",INDEX('节气整理'!F:F,$H123))</x:f>
      </x:c>
      <x:c r="F123" s="15" t="str">
        <x:f>IF($H123="","",INDEX('节气整理'!K:K,$H123))</x:f>
      </x:c>
      <x:c r="G123" s="15" t="str">
        <x:f>IF($H123="","",INDEX('节气整理'!I:I,$H123))</x:f>
      </x:c>
      <x:c r="H123" s="56" t="str">
        <x:f>IFERROR(IF(SMALL('节气整理'!$U$2:$U$130,ROWS($H$4:H123))&gt;=90000000,"",MOD(SMALL('节气整理'!$U$2:$U$130,ROWS($H$4:H123)),100000)),"")</x:f>
      </x:c>
    </x:row>
    <x:row r="124">
      <x:c r="A124" s="15" t="str">
        <x:f>IF($H124="","",INDEX('节气整理'!A:A,$H124))</x:f>
      </x:c>
      <x:c r="B124" s="15" t="str">
        <x:f>IF($H124="","",INDEX('节气整理'!B:B,$H124))</x:f>
      </x:c>
      <x:c r="C124" s="15" t="str">
        <x:f>IF($H124="","",INDEX('节气整理'!J:J,$H124))</x:f>
      </x:c>
      <x:c r="D124" s="15" t="str">
        <x:f>IF($H124="","",INDEX('节气整理'!D:D,$H124))</x:f>
      </x:c>
      <x:c r="E124" s="15" t="str">
        <x:f>IF($H124="","",INDEX('节气整理'!F:F,$H124))</x:f>
      </x:c>
      <x:c r="F124" s="15" t="str">
        <x:f>IF($H124="","",INDEX('节气整理'!K:K,$H124))</x:f>
      </x:c>
      <x:c r="G124" s="15" t="str">
        <x:f>IF($H124="","",INDEX('节气整理'!I:I,$H124))</x:f>
      </x:c>
      <x:c r="H124" s="56" t="str">
        <x:f>IFERROR(IF(SMALL('节气整理'!$U$2:$U$130,ROWS($H$4:H124))&gt;=90000000,"",MOD(SMALL('节气整理'!$U$2:$U$130,ROWS($H$4:H124)),100000)),"")</x:f>
      </x:c>
    </x:row>
    <x:row r="125">
      <x:c r="A125" s="15" t="str">
        <x:f>IF($H125="","",INDEX('节气整理'!A:A,$H125))</x:f>
      </x:c>
      <x:c r="B125" s="15" t="str">
        <x:f>IF($H125="","",INDEX('节气整理'!B:B,$H125))</x:f>
      </x:c>
      <x:c r="C125" s="15" t="str">
        <x:f>IF($H125="","",INDEX('节气整理'!J:J,$H125))</x:f>
      </x:c>
      <x:c r="D125" s="15" t="str">
        <x:f>IF($H125="","",INDEX('节气整理'!D:D,$H125))</x:f>
      </x:c>
      <x:c r="E125" s="15" t="str">
        <x:f>IF($H125="","",INDEX('节气整理'!F:F,$H125))</x:f>
      </x:c>
      <x:c r="F125" s="15" t="str">
        <x:f>IF($H125="","",INDEX('节气整理'!K:K,$H125))</x:f>
      </x:c>
      <x:c r="G125" s="15" t="str">
        <x:f>IF($H125="","",INDEX('节气整理'!I:I,$H125))</x:f>
      </x:c>
      <x:c r="H125" s="56" t="str">
        <x:f>IFERROR(IF(SMALL('节气整理'!$U$2:$U$130,ROWS($H$4:H125))&gt;=90000000,"",MOD(SMALL('节气整理'!$U$2:$U$130,ROWS($H$4:H125)),100000)),"")</x:f>
      </x:c>
    </x:row>
    <x:row r="126">
      <x:c r="A126" s="15" t="str">
        <x:f>IF($H126="","",INDEX('节气整理'!A:A,$H126))</x:f>
      </x:c>
      <x:c r="B126" s="15" t="str">
        <x:f>IF($H126="","",INDEX('节气整理'!B:B,$H126))</x:f>
      </x:c>
      <x:c r="C126" s="15" t="str">
        <x:f>IF($H126="","",INDEX('节气整理'!J:J,$H126))</x:f>
      </x:c>
      <x:c r="D126" s="15" t="str">
        <x:f>IF($H126="","",INDEX('节气整理'!D:D,$H126))</x:f>
      </x:c>
      <x:c r="E126" s="15" t="str">
        <x:f>IF($H126="","",INDEX('节气整理'!F:F,$H126))</x:f>
      </x:c>
      <x:c r="F126" s="15" t="str">
        <x:f>IF($H126="","",INDEX('节气整理'!K:K,$H126))</x:f>
      </x:c>
      <x:c r="G126" s="15" t="str">
        <x:f>IF($H126="","",INDEX('节气整理'!I:I,$H126))</x:f>
      </x:c>
      <x:c r="H126" s="56" t="str">
        <x:f>IFERROR(IF(SMALL('节气整理'!$U$2:$U$130,ROWS($H$4:H126))&gt;=90000000,"",MOD(SMALL('节气整理'!$U$2:$U$130,ROWS($H$4:H126)),100000)),"")</x:f>
      </x:c>
    </x:row>
    <x:row r="127">
      <x:c r="A127" s="15" t="str">
        <x:f>IF($H127="","",INDEX('节气整理'!A:A,$H127))</x:f>
      </x:c>
      <x:c r="B127" s="15" t="str">
        <x:f>IF($H127="","",INDEX('节气整理'!B:B,$H127))</x:f>
      </x:c>
      <x:c r="C127" s="15" t="str">
        <x:f>IF($H127="","",INDEX('节气整理'!J:J,$H127))</x:f>
      </x:c>
      <x:c r="D127" s="15" t="str">
        <x:f>IF($H127="","",INDEX('节气整理'!D:D,$H127))</x:f>
      </x:c>
      <x:c r="E127" s="15" t="str">
        <x:f>IF($H127="","",INDEX('节气整理'!F:F,$H127))</x:f>
      </x:c>
      <x:c r="F127" s="15" t="str">
        <x:f>IF($H127="","",INDEX('节气整理'!K:K,$H127))</x:f>
      </x:c>
      <x:c r="G127" s="15" t="str">
        <x:f>IF($H127="","",INDEX('节气整理'!I:I,$H127))</x:f>
      </x:c>
      <x:c r="H127" s="56" t="str">
        <x:f>IFERROR(IF(SMALL('节气整理'!$U$2:$U$130,ROWS($H$4:H127))&gt;=90000000,"",MOD(SMALL('节气整理'!$U$2:$U$130,ROWS($H$4:H127)),100000)),"")</x:f>
      </x:c>
    </x:row>
    <x:row r="128">
      <x:c r="A128" s="15" t="str">
        <x:f>IF($H128="","",INDEX('节气整理'!A:A,$H128))</x:f>
      </x:c>
      <x:c r="B128" s="15" t="str">
        <x:f>IF($H128="","",INDEX('节气整理'!B:B,$H128))</x:f>
      </x:c>
      <x:c r="C128" s="15" t="str">
        <x:f>IF($H128="","",INDEX('节气整理'!J:J,$H128))</x:f>
      </x:c>
      <x:c r="D128" s="15" t="str">
        <x:f>IF($H128="","",INDEX('节气整理'!D:D,$H128))</x:f>
      </x:c>
      <x:c r="E128" s="15" t="str">
        <x:f>IF($H128="","",INDEX('节气整理'!F:F,$H128))</x:f>
      </x:c>
      <x:c r="F128" s="15" t="str">
        <x:f>IF($H128="","",INDEX('节气整理'!K:K,$H128))</x:f>
      </x:c>
      <x:c r="G128" s="15" t="str">
        <x:f>IF($H128="","",INDEX('节气整理'!I:I,$H128))</x:f>
      </x:c>
      <x:c r="H128" s="56" t="str">
        <x:f>IFERROR(IF(SMALL('节气整理'!$U$2:$U$130,ROWS($H$4:H128))&gt;=90000000,"",MOD(SMALL('节气整理'!$U$2:$U$130,ROWS($H$4:H128)),100000)),"")</x:f>
      </x:c>
    </x:row>
    <x:row r="129">
      <x:c r="A129" s="15" t="str">
        <x:f>IF($H129="","",INDEX('节气整理'!A:A,$H129))</x:f>
      </x:c>
      <x:c r="B129" s="15" t="str">
        <x:f>IF($H129="","",INDEX('节气整理'!B:B,$H129))</x:f>
      </x:c>
      <x:c r="C129" s="15" t="str">
        <x:f>IF($H129="","",INDEX('节气整理'!J:J,$H129))</x:f>
      </x:c>
      <x:c r="D129" s="15" t="str">
        <x:f>IF($H129="","",INDEX('节气整理'!D:D,$H129))</x:f>
      </x:c>
      <x:c r="E129" s="15" t="str">
        <x:f>IF($H129="","",INDEX('节气整理'!F:F,$H129))</x:f>
      </x:c>
      <x:c r="F129" s="15" t="str">
        <x:f>IF($H129="","",INDEX('节气整理'!K:K,$H129))</x:f>
      </x:c>
      <x:c r="G129" s="15" t="str">
        <x:f>IF($H129="","",INDEX('节气整理'!I:I,$H129))</x:f>
      </x:c>
      <x:c r="H129" s="56" t="str">
        <x:f>IFERROR(IF(SMALL('节气整理'!$U$2:$U$130,ROWS($H$4:H129))&gt;=90000000,"",MOD(SMALL('节气整理'!$U$2:$U$130,ROWS($H$4:H129)),100000)),"")</x:f>
      </x:c>
    </x:row>
    <x:row r="130">
      <x:c r="A130" s="15" t="str">
        <x:f>IF($H130="","",INDEX('节气整理'!A:A,$H130))</x:f>
      </x:c>
      <x:c r="B130" s="15" t="str">
        <x:f>IF($H130="","",INDEX('节气整理'!B:B,$H130))</x:f>
      </x:c>
      <x:c r="C130" s="15" t="str">
        <x:f>IF($H130="","",INDEX('节气整理'!J:J,$H130))</x:f>
      </x:c>
      <x:c r="D130" s="15" t="str">
        <x:f>IF($H130="","",INDEX('节气整理'!D:D,$H130))</x:f>
      </x:c>
      <x:c r="E130" s="15" t="str">
        <x:f>IF($H130="","",INDEX('节气整理'!F:F,$H130))</x:f>
      </x:c>
      <x:c r="F130" s="15" t="str">
        <x:f>IF($H130="","",INDEX('节气整理'!K:K,$H130))</x:f>
      </x:c>
      <x:c r="G130" s="15" t="str">
        <x:f>IF($H130="","",INDEX('节气整理'!I:I,$H130))</x:f>
      </x:c>
      <x:c r="H130" s="56" t="str">
        <x:f>IFERROR(IF(SMALL('节气整理'!$U$2:$U$130,ROWS($H$4:H130))&gt;=90000000,"",MOD(SMALL('节气整理'!$U$2:$U$130,ROWS($H$4:H130)),100000)),"")</x:f>
      </x:c>
    </x:row>
    <x:row r="131">
      <x:c r="A131" s="15" t="str">
        <x:f>IF($H131="","",INDEX('节气整理'!A:A,$H131))</x:f>
      </x:c>
      <x:c r="B131" s="15" t="str">
        <x:f>IF($H131="","",INDEX('节气整理'!B:B,$H131))</x:f>
      </x:c>
      <x:c r="C131" s="15" t="str">
        <x:f>IF($H131="","",INDEX('节气整理'!J:J,$H131))</x:f>
      </x:c>
      <x:c r="D131" s="15" t="str">
        <x:f>IF($H131="","",INDEX('节气整理'!D:D,$H131))</x:f>
      </x:c>
      <x:c r="E131" s="15" t="str">
        <x:f>IF($H131="","",INDEX('节气整理'!F:F,$H131))</x:f>
      </x:c>
      <x:c r="F131" s="15" t="str">
        <x:f>IF($H131="","",INDEX('节气整理'!K:K,$H131))</x:f>
      </x:c>
      <x:c r="G131" s="15" t="str">
        <x:f>IF($H131="","",INDEX('节气整理'!I:I,$H131))</x:f>
      </x:c>
      <x:c r="H131" s="56" t="str">
        <x:f>IFERROR(IF(SMALL('节气整理'!$U$2:$U$130,ROWS($H$4:H131))&gt;=90000000,"",MOD(SMALL('节气整理'!$U$2:$U$130,ROWS($H$4:H131)),100000)),"")</x:f>
      </x:c>
    </x:row>
    <x:row r="132">
      <x:c r="A132" s="15" t="str">
        <x:f>IF($H132="","",INDEX('节气整理'!A:A,$H132))</x:f>
      </x:c>
      <x:c r="B132" s="15" t="str">
        <x:f>IF($H132="","",INDEX('节气整理'!B:B,$H132))</x:f>
      </x:c>
      <x:c r="C132" s="15" t="str">
        <x:f>IF($H132="","",INDEX('节气整理'!J:J,$H132))</x:f>
      </x:c>
      <x:c r="D132" s="15" t="str">
        <x:f>IF($H132="","",INDEX('节气整理'!D:D,$H132))</x:f>
      </x:c>
      <x:c r="E132" s="15" t="str">
        <x:f>IF($H132="","",INDEX('节气整理'!F:F,$H132))</x:f>
      </x:c>
      <x:c r="F132" s="15" t="str">
        <x:f>IF($H132="","",INDEX('节气整理'!K:K,$H132))</x:f>
      </x:c>
      <x:c r="G132" s="15" t="str">
        <x:f>IF($H132="","",INDEX('节气整理'!I:I,$H132))</x:f>
      </x:c>
      <x:c r="H132" s="56" t="str">
        <x:f>IFERROR(IF(SMALL('节气整理'!$U$2:$U$130,ROWS($H$4:H132))&gt;=90000000,"",MOD(SMALL('节气整理'!$U$2:$U$130,ROWS($H$4:H132)),100000)),"")</x:f>
      </x:c>
    </x:row>
    <x:row r="133">
      <x:c r="A133" s="15" t="str">
        <x:f>IF($H133="","",INDEX('节气整理'!A:A,$H133))</x:f>
      </x:c>
      <x:c r="B133" s="15" t="str">
        <x:f>IF($H133="","",INDEX('节气整理'!B:B,$H133))</x:f>
      </x:c>
      <x:c r="C133" s="15" t="str">
        <x:f>IF($H133="","",INDEX('节气整理'!J:J,$H133))</x:f>
      </x:c>
      <x:c r="D133" s="15" t="str">
        <x:f>IF($H133="","",INDEX('节气整理'!D:D,$H133))</x:f>
      </x:c>
      <x:c r="E133" s="15" t="str">
        <x:f>IF($H133="","",INDEX('节气整理'!F:F,$H133))</x:f>
      </x:c>
      <x:c r="F133" s="15" t="str">
        <x:f>IF($H133="","",INDEX('节气整理'!K:K,$H133))</x:f>
      </x:c>
      <x:c r="G133" s="15" t="str">
        <x:f>IF($H133="","",INDEX('节气整理'!I:I,$H133))</x:f>
      </x:c>
      <x:c r="H133" s="56" t="str">
        <x:f>IFERROR(IF(SMALL('节气整理'!$U$2:$U$130,ROWS($H$4:H133))&gt;=90000000,"",MOD(SMALL('节气整理'!$U$2:$U$130,ROWS($H$4:H133)),100000)),"")</x:f>
      </x:c>
    </x:row>
    <x:row r="134">
      <x:c r="A134" s="15" t="str">
        <x:f>IF($H134="","",INDEX('节气整理'!A:A,$H134))</x:f>
      </x:c>
      <x:c r="B134" s="15" t="str">
        <x:f>IF($H134="","",INDEX('节气整理'!B:B,$H134))</x:f>
      </x:c>
      <x:c r="C134" s="15" t="str">
        <x:f>IF($H134="","",INDEX('节气整理'!J:J,$H134))</x:f>
      </x:c>
      <x:c r="D134" s="15" t="str">
        <x:f>IF($H134="","",INDEX('节气整理'!D:D,$H134))</x:f>
      </x:c>
      <x:c r="E134" s="15" t="str">
        <x:f>IF($H134="","",INDEX('节气整理'!F:F,$H134))</x:f>
      </x:c>
      <x:c r="F134" s="15" t="str">
        <x:f>IF($H134="","",INDEX('节气整理'!K:K,$H134))</x:f>
      </x:c>
      <x:c r="G134" s="15" t="str">
        <x:f>IF($H134="","",INDEX('节气整理'!I:I,$H134))</x:f>
      </x:c>
      <x:c r="H134" s="56" t="str">
        <x:f>IFERROR(IF(SMALL('节气整理'!$U$2:$U$130,ROWS($H$4:H134))&gt;=90000000,"",MOD(SMALL('节气整理'!$U$2:$U$130,ROWS($H$4:H134)),100000)),"")</x:f>
      </x:c>
    </x:row>
    <x:row r="135">
      <x:c r="A135" s="15" t="str">
        <x:f>IF($H135="","",INDEX('节气整理'!A:A,$H135))</x:f>
      </x:c>
      <x:c r="B135" s="15" t="str">
        <x:f>IF($H135="","",INDEX('节气整理'!B:B,$H135))</x:f>
      </x:c>
      <x:c r="C135" s="15" t="str">
        <x:f>IF($H135="","",INDEX('节气整理'!J:J,$H135))</x:f>
      </x:c>
      <x:c r="D135" s="15" t="str">
        <x:f>IF($H135="","",INDEX('节气整理'!D:D,$H135))</x:f>
      </x:c>
      <x:c r="E135" s="15" t="str">
        <x:f>IF($H135="","",INDEX('节气整理'!F:F,$H135))</x:f>
      </x:c>
      <x:c r="F135" s="15" t="str">
        <x:f>IF($H135="","",INDEX('节气整理'!K:K,$H135))</x:f>
      </x:c>
      <x:c r="G135" s="15" t="str">
        <x:f>IF($H135="","",INDEX('节气整理'!I:I,$H135))</x:f>
      </x:c>
      <x:c r="H135" s="56" t="str">
        <x:f>IFERROR(IF(SMALL('节气整理'!$U$2:$U$130,ROWS($H$4:H135))&gt;=90000000,"",MOD(SMALL('节气整理'!$U$2:$U$130,ROWS($H$4:H135)),100000)),"")</x:f>
      </x:c>
    </x:row>
    <x:row r="136">
      <x:c r="A136" s="15" t="str">
        <x:f>IF($H136="","",INDEX('节气整理'!A:A,$H136))</x:f>
      </x:c>
      <x:c r="B136" s="15" t="str">
        <x:f>IF($H136="","",INDEX('节气整理'!B:B,$H136))</x:f>
      </x:c>
      <x:c r="C136" s="15" t="str">
        <x:f>IF($H136="","",INDEX('节气整理'!J:J,$H136))</x:f>
      </x:c>
      <x:c r="D136" s="15" t="str">
        <x:f>IF($H136="","",INDEX('节气整理'!D:D,$H136))</x:f>
      </x:c>
      <x:c r="E136" s="15" t="str">
        <x:f>IF($H136="","",INDEX('节气整理'!F:F,$H136))</x:f>
      </x:c>
      <x:c r="F136" s="15" t="str">
        <x:f>IF($H136="","",INDEX('节气整理'!K:K,$H136))</x:f>
      </x:c>
      <x:c r="G136" s="15" t="str">
        <x:f>IF($H136="","",INDEX('节气整理'!I:I,$H136))</x:f>
      </x:c>
      <x:c r="H136" s="56" t="str">
        <x:f>IFERROR(IF(SMALL('节气整理'!$U$2:$U$130,ROWS($H$4:H136))&gt;=90000000,"",MOD(SMALL('节气整理'!$U$2:$U$130,ROWS($H$4:H136)),100000)),"")</x:f>
      </x:c>
    </x:row>
    <x:row r="137">
      <x:c r="A137" s="15" t="str">
        <x:f>IF($H137="","",INDEX('节气整理'!A:A,$H137))</x:f>
      </x:c>
      <x:c r="B137" s="15" t="str">
        <x:f>IF($H137="","",INDEX('节气整理'!B:B,$H137))</x:f>
      </x:c>
      <x:c r="C137" s="15" t="str">
        <x:f>IF($H137="","",INDEX('节气整理'!J:J,$H137))</x:f>
      </x:c>
      <x:c r="D137" s="15" t="str">
        <x:f>IF($H137="","",INDEX('节气整理'!D:D,$H137))</x:f>
      </x:c>
      <x:c r="E137" s="15" t="str">
        <x:f>IF($H137="","",INDEX('节气整理'!F:F,$H137))</x:f>
      </x:c>
      <x:c r="F137" s="15" t="str">
        <x:f>IF($H137="","",INDEX('节气整理'!K:K,$H137))</x:f>
      </x:c>
      <x:c r="G137" s="15" t="str">
        <x:f>IF($H137="","",INDEX('节气整理'!I:I,$H137))</x:f>
      </x:c>
      <x:c r="H137" s="56" t="str">
        <x:f>IFERROR(IF(SMALL('节气整理'!$U$2:$U$130,ROWS($H$4:H137))&gt;=90000000,"",MOD(SMALL('节气整理'!$U$2:$U$130,ROWS($H$4:H137)),100000)),"")</x:f>
      </x:c>
    </x:row>
    <x:row r="138">
      <x:c r="A138" s="15" t="str">
        <x:f>IF($H138="","",INDEX('节气整理'!A:A,$H138))</x:f>
      </x:c>
      <x:c r="B138" s="15" t="str">
        <x:f>IF($H138="","",INDEX('节气整理'!B:B,$H138))</x:f>
      </x:c>
      <x:c r="C138" s="15" t="str">
        <x:f>IF($H138="","",INDEX('节气整理'!J:J,$H138))</x:f>
      </x:c>
      <x:c r="D138" s="15" t="str">
        <x:f>IF($H138="","",INDEX('节气整理'!D:D,$H138))</x:f>
      </x:c>
      <x:c r="E138" s="15" t="str">
        <x:f>IF($H138="","",INDEX('节气整理'!F:F,$H138))</x:f>
      </x:c>
      <x:c r="F138" s="15" t="str">
        <x:f>IF($H138="","",INDEX('节气整理'!K:K,$H138))</x:f>
      </x:c>
      <x:c r="G138" s="15" t="str">
        <x:f>IF($H138="","",INDEX('节气整理'!I:I,$H138))</x:f>
      </x:c>
      <x:c r="H138" s="56" t="str">
        <x:f>IFERROR(IF(SMALL('节气整理'!$U$2:$U$130,ROWS($H$4:H138))&gt;=90000000,"",MOD(SMALL('节气整理'!$U$2:$U$130,ROWS($H$4:H138)),100000)),"")</x:f>
      </x:c>
    </x:row>
    <x:row r="139">
      <x:c r="A139" s="15" t="str">
        <x:f>IF($H139="","",INDEX('节气整理'!A:A,$H139))</x:f>
      </x:c>
      <x:c r="B139" s="15" t="str">
        <x:f>IF($H139="","",INDEX('节气整理'!B:B,$H139))</x:f>
      </x:c>
      <x:c r="C139" s="15" t="str">
        <x:f>IF($H139="","",INDEX('节气整理'!J:J,$H139))</x:f>
      </x:c>
      <x:c r="D139" s="15" t="str">
        <x:f>IF($H139="","",INDEX('节气整理'!D:D,$H139))</x:f>
      </x:c>
      <x:c r="E139" s="15" t="str">
        <x:f>IF($H139="","",INDEX('节气整理'!F:F,$H139))</x:f>
      </x:c>
      <x:c r="F139" s="15" t="str">
        <x:f>IF($H139="","",INDEX('节气整理'!K:K,$H139))</x:f>
      </x:c>
      <x:c r="G139" s="15" t="str">
        <x:f>IF($H139="","",INDEX('节气整理'!I:I,$H139))</x:f>
      </x:c>
      <x:c r="H139" s="56" t="str">
        <x:f>IFERROR(IF(SMALL('节气整理'!$U$2:$U$130,ROWS($H$4:H139))&gt;=90000000,"",MOD(SMALL('节气整理'!$U$2:$U$130,ROWS($H$4:H139)),100000)),"")</x:f>
      </x:c>
    </x:row>
    <x:row r="140">
      <x:c r="A140" s="15" t="str">
        <x:f>IF($H140="","",INDEX('节气整理'!A:A,$H140))</x:f>
      </x:c>
      <x:c r="B140" s="15" t="str">
        <x:f>IF($H140="","",INDEX('节气整理'!B:B,$H140))</x:f>
      </x:c>
      <x:c r="C140" s="15" t="str">
        <x:f>IF($H140="","",INDEX('节气整理'!J:J,$H140))</x:f>
      </x:c>
      <x:c r="D140" s="15" t="str">
        <x:f>IF($H140="","",INDEX('节气整理'!D:D,$H140))</x:f>
      </x:c>
      <x:c r="E140" s="15" t="str">
        <x:f>IF($H140="","",INDEX('节气整理'!F:F,$H140))</x:f>
      </x:c>
      <x:c r="F140" s="15" t="str">
        <x:f>IF($H140="","",INDEX('节气整理'!K:K,$H140))</x:f>
      </x:c>
      <x:c r="G140" s="15" t="str">
        <x:f>IF($H140="","",INDEX('节气整理'!I:I,$H140))</x:f>
      </x:c>
      <x:c r="H140" s="56" t="str">
        <x:f>IFERROR(IF(SMALL('节气整理'!$U$2:$U$130,ROWS($H$4:H140))&gt;=90000000,"",MOD(SMALL('节气整理'!$U$2:$U$130,ROWS($H$4:H140)),100000)),"")</x:f>
      </x:c>
    </x:row>
    <x:row r="141">
      <x:c r="A141" s="15" t="str">
        <x:f>IF($H141="","",INDEX('节气整理'!A:A,$H141))</x:f>
      </x:c>
      <x:c r="B141" s="15" t="str">
        <x:f>IF($H141="","",INDEX('节气整理'!B:B,$H141))</x:f>
      </x:c>
      <x:c r="C141" s="15" t="str">
        <x:f>IF($H141="","",INDEX('节气整理'!J:J,$H141))</x:f>
      </x:c>
      <x:c r="D141" s="15" t="str">
        <x:f>IF($H141="","",INDEX('节气整理'!D:D,$H141))</x:f>
      </x:c>
      <x:c r="E141" s="15" t="str">
        <x:f>IF($H141="","",INDEX('节气整理'!F:F,$H141))</x:f>
      </x:c>
      <x:c r="F141" s="15" t="str">
        <x:f>IF($H141="","",INDEX('节气整理'!K:K,$H141))</x:f>
      </x:c>
      <x:c r="G141" s="15" t="str">
        <x:f>IF($H141="","",INDEX('节气整理'!I:I,$H141))</x:f>
      </x:c>
      <x:c r="H141" s="56" t="str">
        <x:f>IFERROR(IF(SMALL('节气整理'!$U$2:$U$130,ROWS($H$4:H141))&gt;=90000000,"",MOD(SMALL('节气整理'!$U$2:$U$130,ROWS($H$4:H141)),100000)),"")</x:f>
      </x:c>
    </x:row>
    <x:row r="142">
      <x:c r="A142" s="15" t="str">
        <x:f>IF($H142="","",INDEX('节气整理'!A:A,$H142))</x:f>
      </x:c>
      <x:c r="B142" s="15" t="str">
        <x:f>IF($H142="","",INDEX('节气整理'!B:B,$H142))</x:f>
      </x:c>
      <x:c r="C142" s="15" t="str">
        <x:f>IF($H142="","",INDEX('节气整理'!J:J,$H142))</x:f>
      </x:c>
      <x:c r="D142" s="15" t="str">
        <x:f>IF($H142="","",INDEX('节气整理'!D:D,$H142))</x:f>
      </x:c>
      <x:c r="E142" s="15" t="str">
        <x:f>IF($H142="","",INDEX('节气整理'!F:F,$H142))</x:f>
      </x:c>
      <x:c r="F142" s="15" t="str">
        <x:f>IF($H142="","",INDEX('节气整理'!K:K,$H142))</x:f>
      </x:c>
      <x:c r="G142" s="15" t="str">
        <x:f>IF($H142="","",INDEX('节气整理'!I:I,$H142))</x:f>
      </x:c>
      <x:c r="H142" s="56" t="str">
        <x:f>IFERROR(IF(SMALL('节气整理'!$U$2:$U$130,ROWS($H$4:H142))&gt;=90000000,"",MOD(SMALL('节气整理'!$U$2:$U$130,ROWS($H$4:H142)),100000)),"")</x:f>
      </x:c>
    </x:row>
    <x:row r="143">
      <x:c r="A143" s="15" t="str">
        <x:f>IF($H143="","",INDEX('节气整理'!A:A,$H143))</x:f>
      </x:c>
      <x:c r="B143" s="15" t="str">
        <x:f>IF($H143="","",INDEX('节气整理'!B:B,$H143))</x:f>
      </x:c>
      <x:c r="C143" s="15" t="str">
        <x:f>IF($H143="","",INDEX('节气整理'!J:J,$H143))</x:f>
      </x:c>
      <x:c r="D143" s="15" t="str">
        <x:f>IF($H143="","",INDEX('节气整理'!D:D,$H143))</x:f>
      </x:c>
      <x:c r="E143" s="15" t="str">
        <x:f>IF($H143="","",INDEX('节气整理'!F:F,$H143))</x:f>
      </x:c>
      <x:c r="F143" s="15" t="str">
        <x:f>IF($H143="","",INDEX('节气整理'!K:K,$H143))</x:f>
      </x:c>
      <x:c r="G143" s="15" t="str">
        <x:f>IF($H143="","",INDEX('节气整理'!I:I,$H143))</x:f>
      </x:c>
      <x:c r="H143" s="56" t="str">
        <x:f>IFERROR(IF(SMALL('节气整理'!$U$2:$U$130,ROWS($H$4:H143))&gt;=90000000,"",MOD(SMALL('节气整理'!$U$2:$U$130,ROWS($H$4:H143)),100000)),"")</x:f>
      </x:c>
    </x:row>
    <x:row r="144">
      <x:c r="A144" s="15" t="str">
        <x:f>IF($H144="","",INDEX('节气整理'!A:A,$H144))</x:f>
      </x:c>
      <x:c r="B144" s="15" t="str">
        <x:f>IF($H144="","",INDEX('节气整理'!B:B,$H144))</x:f>
      </x:c>
      <x:c r="C144" s="15" t="str">
        <x:f>IF($H144="","",INDEX('节气整理'!J:J,$H144))</x:f>
      </x:c>
      <x:c r="D144" s="15" t="str">
        <x:f>IF($H144="","",INDEX('节气整理'!D:D,$H144))</x:f>
      </x:c>
      <x:c r="E144" s="15" t="str">
        <x:f>IF($H144="","",INDEX('节气整理'!F:F,$H144))</x:f>
      </x:c>
      <x:c r="F144" s="15" t="str">
        <x:f>IF($H144="","",INDEX('节气整理'!K:K,$H144))</x:f>
      </x:c>
      <x:c r="G144" s="15" t="str">
        <x:f>IF($H144="","",INDEX('节气整理'!I:I,$H144))</x:f>
      </x:c>
      <x:c r="H144" s="56" t="str">
        <x:f>IFERROR(IF(SMALL('节气整理'!$U$2:$U$130,ROWS($H$4:H144))&gt;=90000000,"",MOD(SMALL('节气整理'!$U$2:$U$130,ROWS($H$4:H144)),100000)),"")</x:f>
      </x:c>
    </x:row>
    <x:row r="145">
      <x:c r="A145" s="15" t="str">
        <x:f>IF($H145="","",INDEX('节气整理'!A:A,$H145))</x:f>
      </x:c>
      <x:c r="B145" s="15" t="str">
        <x:f>IF($H145="","",INDEX('节气整理'!B:B,$H145))</x:f>
      </x:c>
      <x:c r="C145" s="15" t="str">
        <x:f>IF($H145="","",INDEX('节气整理'!J:J,$H145))</x:f>
      </x:c>
      <x:c r="D145" s="15" t="str">
        <x:f>IF($H145="","",INDEX('节气整理'!D:D,$H145))</x:f>
      </x:c>
      <x:c r="E145" s="15" t="str">
        <x:f>IF($H145="","",INDEX('节气整理'!F:F,$H145))</x:f>
      </x:c>
      <x:c r="F145" s="15" t="str">
        <x:f>IF($H145="","",INDEX('节气整理'!K:K,$H145))</x:f>
      </x:c>
      <x:c r="G145" s="15" t="str">
        <x:f>IF($H145="","",INDEX('节气整理'!I:I,$H145))</x:f>
      </x:c>
      <x:c r="H145" s="56" t="str">
        <x:f>IFERROR(IF(SMALL('节气整理'!$U$2:$U$130,ROWS($H$4:H145))&gt;=90000000,"",MOD(SMALL('节气整理'!$U$2:$U$130,ROWS($H$4:H145)),100000)),"")</x:f>
      </x:c>
    </x:row>
    <x:row r="146">
      <x:c r="A146" s="15" t="str">
        <x:f>IF($H146="","",INDEX('节气整理'!A:A,$H146))</x:f>
      </x:c>
      <x:c r="B146" s="15" t="str">
        <x:f>IF($H146="","",INDEX('节气整理'!B:B,$H146))</x:f>
      </x:c>
      <x:c r="C146" s="15" t="str">
        <x:f>IF($H146="","",INDEX('节气整理'!J:J,$H146))</x:f>
      </x:c>
      <x:c r="D146" s="15" t="str">
        <x:f>IF($H146="","",INDEX('节气整理'!D:D,$H146))</x:f>
      </x:c>
      <x:c r="E146" s="15" t="str">
        <x:f>IF($H146="","",INDEX('节气整理'!F:F,$H146))</x:f>
      </x:c>
      <x:c r="F146" s="15" t="str">
        <x:f>IF($H146="","",INDEX('节气整理'!K:K,$H146))</x:f>
      </x:c>
      <x:c r="G146" s="15" t="str">
        <x:f>IF($H146="","",INDEX('节气整理'!I:I,$H146))</x:f>
      </x:c>
      <x:c r="H146" s="56" t="str">
        <x:f>IFERROR(IF(SMALL('节气整理'!$U$2:$U$130,ROWS($H$4:H146))&gt;=90000000,"",MOD(SMALL('节气整理'!$U$2:$U$130,ROWS($H$4:H146)),100000)),"")</x:f>
      </x:c>
    </x:row>
    <x:row r="147">
      <x:c r="A147" s="15" t="str">
        <x:f>IF($H147="","",INDEX('节气整理'!A:A,$H147))</x:f>
      </x:c>
      <x:c r="B147" s="15" t="str">
        <x:f>IF($H147="","",INDEX('节气整理'!B:B,$H147))</x:f>
      </x:c>
      <x:c r="C147" s="15" t="str">
        <x:f>IF($H147="","",INDEX('节气整理'!J:J,$H147))</x:f>
      </x:c>
      <x:c r="D147" s="15" t="str">
        <x:f>IF($H147="","",INDEX('节气整理'!D:D,$H147))</x:f>
      </x:c>
      <x:c r="E147" s="15" t="str">
        <x:f>IF($H147="","",INDEX('节气整理'!F:F,$H147))</x:f>
      </x:c>
      <x:c r="F147" s="15" t="str">
        <x:f>IF($H147="","",INDEX('节气整理'!K:K,$H147))</x:f>
      </x:c>
      <x:c r="G147" s="15" t="str">
        <x:f>IF($H147="","",INDEX('节气整理'!I:I,$H147))</x:f>
      </x:c>
      <x:c r="H147" s="56" t="str">
        <x:f>IFERROR(IF(SMALL('节气整理'!$U$2:$U$130,ROWS($H$4:H147))&gt;=90000000,"",MOD(SMALL('节气整理'!$U$2:$U$130,ROWS($H$4:H147)),100000)),"")</x:f>
      </x:c>
    </x:row>
    <x:row r="148">
      <x:c r="A148" s="15" t="str">
        <x:f>IF($H148="","",INDEX('节气整理'!A:A,$H148))</x:f>
      </x:c>
      <x:c r="B148" s="15" t="str">
        <x:f>IF($H148="","",INDEX('节气整理'!B:B,$H148))</x:f>
      </x:c>
      <x:c r="C148" s="15" t="str">
        <x:f>IF($H148="","",INDEX('节气整理'!J:J,$H148))</x:f>
      </x:c>
      <x:c r="D148" s="15" t="str">
        <x:f>IF($H148="","",INDEX('节气整理'!D:D,$H148))</x:f>
      </x:c>
      <x:c r="E148" s="15" t="str">
        <x:f>IF($H148="","",INDEX('节气整理'!F:F,$H148))</x:f>
      </x:c>
      <x:c r="F148" s="15" t="str">
        <x:f>IF($H148="","",INDEX('节气整理'!K:K,$H148))</x:f>
      </x:c>
      <x:c r="G148" s="15" t="str">
        <x:f>IF($H148="","",INDEX('节气整理'!I:I,$H148))</x:f>
      </x:c>
      <x:c r="H148" s="56" t="str">
        <x:f>IFERROR(IF(SMALL('节气整理'!$U$2:$U$130,ROWS($H$4:H148))&gt;=90000000,"",MOD(SMALL('节气整理'!$U$2:$U$130,ROWS($H$4:H148)),100000)),"")</x:f>
      </x:c>
    </x:row>
    <x:row r="149">
      <x:c r="A149" s="15" t="str">
        <x:f>IF($H149="","",INDEX('节气整理'!A:A,$H149))</x:f>
      </x:c>
      <x:c r="B149" s="15" t="str">
        <x:f>IF($H149="","",INDEX('节气整理'!B:B,$H149))</x:f>
      </x:c>
      <x:c r="C149" s="15" t="str">
        <x:f>IF($H149="","",INDEX('节气整理'!J:J,$H149))</x:f>
      </x:c>
      <x:c r="D149" s="15" t="str">
        <x:f>IF($H149="","",INDEX('节气整理'!D:D,$H149))</x:f>
      </x:c>
      <x:c r="E149" s="15" t="str">
        <x:f>IF($H149="","",INDEX('节气整理'!F:F,$H149))</x:f>
      </x:c>
      <x:c r="F149" s="15" t="str">
        <x:f>IF($H149="","",INDEX('节气整理'!K:K,$H149))</x:f>
      </x:c>
      <x:c r="G149" s="15" t="str">
        <x:f>IF($H149="","",INDEX('节气整理'!I:I,$H149))</x:f>
      </x:c>
      <x:c r="H149" s="56" t="str">
        <x:f>IFERROR(IF(SMALL('节气整理'!$U$2:$U$130,ROWS($H$4:H149))&gt;=90000000,"",MOD(SMALL('节气整理'!$U$2:$U$130,ROWS($H$4:H149)),100000)),"")</x:f>
      </x:c>
    </x:row>
    <x:row r="150">
      <x:c r="A150" s="15" t="str">
        <x:f>IF($H150="","",INDEX('节气整理'!A:A,$H150))</x:f>
      </x:c>
      <x:c r="B150" s="15" t="str">
        <x:f>IF($H150="","",INDEX('节气整理'!B:B,$H150))</x:f>
      </x:c>
      <x:c r="C150" s="15" t="str">
        <x:f>IF($H150="","",INDEX('节气整理'!J:J,$H150))</x:f>
      </x:c>
      <x:c r="D150" s="15" t="str">
        <x:f>IF($H150="","",INDEX('节气整理'!D:D,$H150))</x:f>
      </x:c>
      <x:c r="E150" s="15" t="str">
        <x:f>IF($H150="","",INDEX('节气整理'!F:F,$H150))</x:f>
      </x:c>
      <x:c r="F150" s="15" t="str">
        <x:f>IF($H150="","",INDEX('节气整理'!K:K,$H150))</x:f>
      </x:c>
      <x:c r="G150" s="15" t="str">
        <x:f>IF($H150="","",INDEX('节气整理'!I:I,$H150))</x:f>
      </x:c>
      <x:c r="H150" s="56" t="str">
        <x:f>IFERROR(IF(SMALL('节气整理'!$U$2:$U$130,ROWS($H$4:H150))&gt;=90000000,"",MOD(SMALL('节气整理'!$U$2:$U$130,ROWS($H$4:H150)),100000)),"")</x:f>
      </x:c>
    </x:row>
  </x:sheetData>
  <x:mergeCells>
    <x:mergeCell ref="A1:J1"/>
  </x:mergeCells>
  <x:conditionalFormatting sqref="A4:G22">
    <x:cfRule type="expression" dxfId="7" priority="1">
      <x:formula>$C4="节点进行中"</x:formula>
    </x:cfRule>
    <x:cfRule type="expression" dxfId="8" priority="2">
      <x:formula>$C4="高频跟进"</x:formula>
    </x:cfRule>
    <x:cfRule type="expression" dxfId="9" priority="3">
      <x:formula>$C4="二次排查"</x:formula>
    </x:cfRule>
    <x:cfRule type="expression" dxfId="10" priority="4">
      <x:formula>$C4="一次排查"</x:formula>
    </x:cfRule>
  </x:conditionalFormatting>
  <x:conditionalFormatting sqref="A4:G26">
    <x:cfRule type="expression" dxfId="23" priority="5">
      <x:formula>$C4="节点进行中"</x:formula>
    </x:cfRule>
    <x:cfRule type="expression" dxfId="24" priority="6">
      <x:formula>$C4="高频跟进"</x:formula>
    </x:cfRule>
    <x:cfRule type="expression" dxfId="25" priority="7">
      <x:formula>$C4="二次排查"</x:formula>
    </x:cfRule>
    <x:cfRule type="expression" dxfId="26" priority="8">
      <x:formula>$C4="一次排查"</x:formula>
    </x:cfRule>
  </x:conditionalFormatting>
  <x:conditionalFormatting sqref="C4:C150">
    <x:cfRule type="containsText" dxfId="27" priority="9" operator="containsText" text="节点进行中"/>
    <x:cfRule type="containsText" dxfId="28" priority="10" operator="containsText" text="高频跟进"/>
    <x:cfRule type="containsText" dxfId="29" priority="11" operator="containsText" text="二次排查"/>
    <x:cfRule type="containsText" dxfId="30" priority="12" operator="containsText" text="一次排查"/>
  </x:conditionalFormatting>
  <x:conditionalFormatting sqref="A4:H50">
    <x:cfRule type="expression" dxfId="31" priority="13">
      <x:formula>$C4="临近高频"</x:formula>
    </x:cfRule>
  </x:conditionalFormatting>
  <x:conditionalFormatting sqref="C4:C70">
    <x:cfRule type="expression" dxfId="69" priority="37">
      <x:formula>$C4="收尾下滑"</x:formula>
    </x:cfRule>
    <x:cfRule type="expression" dxfId="70" priority="38">
      <x:formula>$C4="节后清尾"</x:formula>
    </x:cfRule>
    <x:cfRule type="expression" dxfId="71" priority="39">
      <x:formula>$C4="节点进行中"</x:formula>
    </x:cfRule>
    <x:cfRule type="expression" dxfId="72" priority="40">
      <x:formula>$C4="高频跟进"</x:formula>
    </x:cfRule>
    <x:cfRule type="expression" dxfId="73" priority="41">
      <x:formula>$C4="临近高频"</x:formula>
    </x:cfRule>
    <x:cfRule type="expression" dxfId="74" priority="42">
      <x:formula>$C4="二次排查"</x:formula>
    </x:cfRule>
    <x:cfRule type="expression" dxfId="75" priority="43">
      <x:formula>$C4="一次排查"</x:formula>
    </x:cfRule>
  </x:conditionalFormatting>
  <x:conditionalFormatting sqref="D4:D70">
    <x:cfRule type="expression" dxfId="76" priority="44">
      <x:formula>$D4="风险/止损"</x:formula>
    </x:cfRule>
    <x:cfRule type="expression" dxfId="77" priority="45">
      <x:formula>$D4="机会/预热"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065308193034120"/>
  </x:tableParts>
</x:worksheet>
</file>